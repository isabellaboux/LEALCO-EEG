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_Boux_LexicalAlignmentInConversation\LEALCO-EEG\B_analysis\C_statistical_evaluation\data\demographic\"/>
    </mc:Choice>
  </mc:AlternateContent>
  <xr:revisionPtr revIDLastSave="0" documentId="13_ncr:1_{4E95111C-179D-4046-B42C-33CA8E718C03}" xr6:coauthVersionLast="36" xr6:coauthVersionMax="36" xr10:uidLastSave="{00000000-0000-0000-0000-000000000000}"/>
  <bookViews>
    <workbookView xWindow="0" yWindow="0" windowWidth="28800" windowHeight="12435" tabRatio="212" xr2:uid="{00000000-000D-0000-FFFF-FFFF00000000}"/>
  </bookViews>
  <sheets>
    <sheet name="LEALCO-EEGdem" sheetId="1" r:id="rId1"/>
    <sheet name="SELECTION ACC" sheetId="2" r:id="rId2"/>
  </sheets>
  <calcPr calcId="191029"/>
</workbook>
</file>

<file path=xl/calcChain.xml><?xml version="1.0" encoding="utf-8"?>
<calcChain xmlns="http://schemas.openxmlformats.org/spreadsheetml/2006/main">
  <c r="C57" i="2" l="1"/>
  <c r="C56" i="2"/>
  <c r="B61" i="2"/>
  <c r="B59" i="2"/>
  <c r="B58" i="2"/>
  <c r="B57" i="2"/>
  <c r="B56" i="2"/>
</calcChain>
</file>

<file path=xl/sharedStrings.xml><?xml version="1.0" encoding="utf-8"?>
<sst xmlns="http://schemas.openxmlformats.org/spreadsheetml/2006/main" count="820" uniqueCount="196">
  <si>
    <t>D001</t>
  </si>
  <si>
    <t>D002_01</t>
  </si>
  <si>
    <t>D003</t>
  </si>
  <si>
    <t>D004</t>
  </si>
  <si>
    <t>D005</t>
  </si>
  <si>
    <t>D006</t>
  </si>
  <si>
    <t>D007</t>
  </si>
  <si>
    <t>D007x01</t>
  </si>
  <si>
    <t>D007x02</t>
  </si>
  <si>
    <t>D008</t>
  </si>
  <si>
    <t>D009_01</t>
  </si>
  <si>
    <t>D010_02</t>
  </si>
  <si>
    <t>D010_03</t>
  </si>
  <si>
    <t>D010_04</t>
  </si>
  <si>
    <t>D010_05</t>
  </si>
  <si>
    <t>D010_06</t>
  </si>
  <si>
    <t>D010_07</t>
  </si>
  <si>
    <t>D010_08</t>
  </si>
  <si>
    <t>D010_09</t>
  </si>
  <si>
    <t>D010_10</t>
  </si>
  <si>
    <t>D010_11</t>
  </si>
  <si>
    <t>D011</t>
  </si>
  <si>
    <t>D012</t>
  </si>
  <si>
    <t>D013_01</t>
  </si>
  <si>
    <t>D013_02</t>
  </si>
  <si>
    <t>D014</t>
  </si>
  <si>
    <t>D014x01</t>
  </si>
  <si>
    <t>D014x02</t>
  </si>
  <si>
    <t>D014x03</t>
  </si>
  <si>
    <t>D014x04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</si>
  <si>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</si>
  <si>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</si>
  <si>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</si>
  <si>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</si>
  <si>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</si>
  <si>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</si>
  <si>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</si>
  <si>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</si>
  <si>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</si>
  <si>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gender</t>
  </si>
  <si>
    <t>Alter: [01]</t>
  </si>
  <si>
    <t>Händigkeit</t>
  </si>
  <si>
    <t>Sehvermögen</t>
  </si>
  <si>
    <t>Hörvermögen</t>
  </si>
  <si>
    <t>Störungen</t>
  </si>
  <si>
    <t>Muttersprache: Anzahl der Nennungen</t>
  </si>
  <si>
    <t>Muttersprache: Nennung 1</t>
  </si>
  <si>
    <t>Muttersprache: Nennung 2</t>
  </si>
  <si>
    <t>Mehrsprachigkeit</t>
  </si>
  <si>
    <t>VP-ID: [01]</t>
  </si>
  <si>
    <t>Händigkeit_ausf: 1&lt;tab&gt;Schreiben</t>
  </si>
  <si>
    <t>Händigkeit_ausf: 2&lt;tab&gt;Zeichnen</t>
  </si>
  <si>
    <t>Händigkeit_ausf: 3&lt;tab&gt;Werfen</t>
  </si>
  <si>
    <t>Händigkeit_ausf: 4&lt;tab&gt;Schere</t>
  </si>
  <si>
    <t>Händigkeit_ausf: 5&lt;tab&gt;Zahnbürste</t>
  </si>
  <si>
    <t>Händigkeit_ausf: 6&lt;tab&gt;Messer (ohne Gabel)</t>
  </si>
  <si>
    <t>Händigkeit_ausf: 7&lt;tab&gt;Löffel</t>
  </si>
  <si>
    <t>Händigkeit_ausf: 8&lt;tab&gt;Besen (obere Hand)</t>
  </si>
  <si>
    <t>Händigkeit_ausf: 9&lt;tab&gt;Streichholz anzünden</t>
  </si>
  <si>
    <t>Händigkeit_ausf: 10&lt;tab&gt;Eine Kiste öffnen (Hand am Deckel)</t>
  </si>
  <si>
    <t>Händigkeit_ausf2</t>
  </si>
  <si>
    <t>Händigkeit_ausf2b</t>
  </si>
  <si>
    <t>Händigkeit_geschw: Anzahl Geschwister</t>
  </si>
  <si>
    <t>Händigkeit_geschw: Anzahl davon Linkshänder</t>
  </si>
  <si>
    <t>Sprachen: Anzahl der Nennungen</t>
  </si>
  <si>
    <t>Sprachen: Nennung 1</t>
  </si>
  <si>
    <t>Sprachen: Nennung 2</t>
  </si>
  <si>
    <t>Sprachen: Nennung 3</t>
  </si>
  <si>
    <t>Sprachen: Nennung 4</t>
  </si>
  <si>
    <t>Alter</t>
  </si>
  <si>
    <t>Sehschwäche</t>
  </si>
  <si>
    <t>Hörschwäche</t>
  </si>
  <si>
    <t>Sprachstörung</t>
  </si>
  <si>
    <t>Neurologische</t>
  </si>
  <si>
    <t>Psychopharmaka</t>
  </si>
  <si>
    <t>Monolingual</t>
  </si>
  <si>
    <t>LEALCO-BEH</t>
  </si>
  <si>
    <t>22</t>
  </si>
  <si>
    <t>Deutsch</t>
  </si>
  <si>
    <t>2</t>
  </si>
  <si>
    <t>0</t>
  </si>
  <si>
    <t>Deutsch 1 Jahr</t>
  </si>
  <si>
    <t>Englisch 6 Jahre</t>
  </si>
  <si>
    <t>Spanisch 14</t>
  </si>
  <si>
    <t>23</t>
  </si>
  <si>
    <t>3</t>
  </si>
  <si>
    <t>Deutsch: 1 Jahr</t>
  </si>
  <si>
    <t>Portugiesisch: 2 Jahre</t>
  </si>
  <si>
    <t>Englisch: 6 Jahre</t>
  </si>
  <si>
    <t>21</t>
  </si>
  <si>
    <t>Englisch: 8Jahre</t>
  </si>
  <si>
    <t>Spanisch: 3 Jahre</t>
  </si>
  <si>
    <t>Französisch: 5 Jahre</t>
  </si>
  <si>
    <t>19</t>
  </si>
  <si>
    <t>4</t>
  </si>
  <si>
    <t>Englisch: 7 Jahre</t>
  </si>
  <si>
    <t>Spanisch: 10 Jahre</t>
  </si>
  <si>
    <t>1</t>
  </si>
  <si>
    <t>Deutsch, 0 Jahre</t>
  </si>
  <si>
    <t>Englisch, 7 Jahre</t>
  </si>
  <si>
    <t>Französisch, 11 Jahre</t>
  </si>
  <si>
    <t>Englisch: 5 Jahre</t>
  </si>
  <si>
    <t>Französisch: 12 Jahre</t>
  </si>
  <si>
    <t>Spanisch: 15 Jahre</t>
  </si>
  <si>
    <t>Deutsch: 1</t>
  </si>
  <si>
    <t>Englisch: 8</t>
  </si>
  <si>
    <t>Deutsch:0</t>
  </si>
  <si>
    <t>Englisch:7</t>
  </si>
  <si>
    <t>Französisch:12</t>
  </si>
  <si>
    <t>Französisch: 13 Jahre</t>
  </si>
  <si>
    <t>Spanisch: 16 Jahre</t>
  </si>
  <si>
    <t>10</t>
  </si>
  <si>
    <t>Deutsch: 0</t>
  </si>
  <si>
    <t>Englisch: 6</t>
  </si>
  <si>
    <t>Englisch: 8 Jahre</t>
  </si>
  <si>
    <t>Latein: 13 Jahre</t>
  </si>
  <si>
    <t>Deutsch: 0 Jahre</t>
  </si>
  <si>
    <t>English: 8 Jahre</t>
  </si>
  <si>
    <t>25</t>
  </si>
  <si>
    <t>Deutsch: 3 Jahre</t>
  </si>
  <si>
    <t>Englisch: 11 Jahre</t>
  </si>
  <si>
    <t>Spanisch: 24 Jahre</t>
  </si>
  <si>
    <t>20</t>
  </si>
  <si>
    <t>Spanisch: 12 Jahre</t>
  </si>
  <si>
    <t>27</t>
  </si>
  <si>
    <t>Englisch 10 Jahre</t>
  </si>
  <si>
    <t>Französisch 6 Jahre</t>
  </si>
  <si>
    <t>Deutsch (Muttersprache)</t>
  </si>
  <si>
    <t>Englisch (6)</t>
  </si>
  <si>
    <t>Französische (11)</t>
  </si>
  <si>
    <t>24</t>
  </si>
  <si>
    <t>Portugiesisch</t>
  </si>
  <si>
    <t>Deutsch: Muttersprache</t>
  </si>
  <si>
    <t>Portugiesisch: Muttersprache</t>
  </si>
  <si>
    <t>30</t>
  </si>
  <si>
    <t>Englisch - 10 JAHRE</t>
  </si>
  <si>
    <t>Russisch - 20 Jahre</t>
  </si>
  <si>
    <t>Spanisch - 20 Jahre</t>
  </si>
  <si>
    <t>Englisch 6</t>
  </si>
  <si>
    <t>Französisch 14</t>
  </si>
  <si>
    <t>18</t>
  </si>
  <si>
    <t>Französisch: 11 Jahre</t>
  </si>
  <si>
    <t>Englisch: 4 Jahre</t>
  </si>
  <si>
    <t>Französisch: 14 Jahre</t>
  </si>
  <si>
    <t>Französisch: 10 Jahre</t>
  </si>
  <si>
    <t>26</t>
  </si>
  <si>
    <t>Italienisch: 16 Jahre</t>
  </si>
  <si>
    <t>Englisch: 10 Jahre</t>
  </si>
  <si>
    <t>Spanisch: 14 Jahre</t>
  </si>
  <si>
    <t>Latein: 11 Jahre</t>
  </si>
  <si>
    <t>Deutsch : seit der Geburt</t>
  </si>
  <si>
    <t>Polnisch: 20 Jahre</t>
  </si>
  <si>
    <t>English 8</t>
  </si>
  <si>
    <t>französisch 14</t>
  </si>
  <si>
    <t>japanisch 21</t>
  </si>
  <si>
    <t>Deutsch: 2 Jahre</t>
  </si>
  <si>
    <t>Englisch: 9 Jahre</t>
  </si>
  <si>
    <t>Deutsch 0 Jahre</t>
  </si>
  <si>
    <t>Englisch 9 Jahre</t>
  </si>
  <si>
    <t>Französisch 12 Jahre</t>
  </si>
  <si>
    <t>Englisch: 12 Jahre</t>
  </si>
  <si>
    <t>Italienisch: 14 Jahre</t>
  </si>
  <si>
    <t>Italienisch: 21 Jahre</t>
  </si>
  <si>
    <t>Polnisch (7 Jahre)</t>
  </si>
  <si>
    <t>Englisch (7 Jahre)</t>
  </si>
  <si>
    <t>Französisch (11 Jahre)</t>
  </si>
  <si>
    <t>Russisch (21 Jahre)</t>
  </si>
  <si>
    <t>Italienisch: 16</t>
  </si>
  <si>
    <t>Deutsch, 3 Jahre</t>
  </si>
  <si>
    <t>Englisch, 8 Jahre</t>
  </si>
  <si>
    <t>Französisch, 14 Jahre</t>
  </si>
  <si>
    <t>Englisch, 10 Jahre</t>
  </si>
  <si>
    <t>Deutsch: seit Geburt</t>
  </si>
  <si>
    <t>Englisch: seit 8 Jahre</t>
  </si>
  <si>
    <t>Deutsch - Muttersprache</t>
  </si>
  <si>
    <t>Englisch - 8 Jahre</t>
  </si>
  <si>
    <t>Italienisch - 22 Jahre</t>
  </si>
  <si>
    <t>Spanisch: 17 Jahre</t>
  </si>
  <si>
    <t>Deutsch Mutterpsrache</t>
  </si>
  <si>
    <t>Englisch 7 Jahre</t>
  </si>
  <si>
    <t>Spanisch 10</t>
  </si>
  <si>
    <t>Kroatisch: 4 Jahre</t>
  </si>
  <si>
    <t>Schwedisch: 16 Jahre</t>
  </si>
  <si>
    <t>31</t>
  </si>
  <si>
    <t>Italienisch: 12 Jahre</t>
  </si>
  <si>
    <t>Deutsch : 0 Jahre</t>
  </si>
  <si>
    <t>Französisch: 3 Jahre</t>
  </si>
  <si>
    <t>deutsch</t>
  </si>
  <si>
    <t>englisch, 7 j</t>
  </si>
  <si>
    <t>türkisch, 3 j</t>
  </si>
  <si>
    <t>spanisch, 16</t>
  </si>
  <si>
    <t>Deutsch:seit der Geburt</t>
  </si>
  <si>
    <t>Spanisch: 18 Jahre</t>
  </si>
  <si>
    <t>Spanisch: 16</t>
  </si>
  <si>
    <t>Deutsch: Geburt</t>
  </si>
  <si>
    <t>Lateinisch: 13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</si>
</sst>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0"/>
      <name val="Arial"/>
      <family val="2"/>
      <charset val="1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0" fontId="0" fillId="0" borderId="0" xfId="0" applyFont="1"/>
    <xf numFmtId="1" fontId="1" fillId="2" borderId="0" xfId="1" applyNumberFormat="1"/>
    <xf numFmtId="49" fontId="1" fillId="2" borderId="0" xfId="1" applyNumberFormat="1"/>
    <xf numFmtId="0" fontId="1" fillId="2" borderId="0" xfId="1"/>
    <xf numFmtId="0" fontId="0" fillId="0" borderId="0" xfId="0"/>
    <xf numFmtId="0" fontId="0" fillId="0" borderId="0" xfId="0" applyNumberFormat="1" applyFont="1"/>
    <xf numFmtId="0" fontId="0" fillId="0" borderId="0" xfId="0" applyNumberFormat="1"/>
    <xf numFmtId="165" fontId="0" fillId="0" borderId="0" xfId="0" applyNumberFormat="1" applyFont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"/>
  <sheetViews>
    <sheetView tabSelected="1" topLeftCell="G1" zoomScaleNormal="100" workbookViewId="0">
      <pane ySplit="2" topLeftCell="A3" activePane="bottomLeft" state="frozen"/>
      <selection pane="bottomLeft" activeCell="N39" sqref="N39"/>
    </sheetView>
  </sheetViews>
  <sheetFormatPr baseColWidth="10" defaultRowHeight="12.75" x14ac:dyDescent="0.2"/>
  <cols>
    <col min="1" max="2" width="8" customWidth="1"/>
    <col min="3" max="3" width="32" customWidth="1"/>
    <col min="4" max="8" width="8" customWidth="1"/>
    <col min="9" max="10" width="32" customWidth="1"/>
    <col min="11" max="23" width="8" customWidth="1"/>
    <col min="24" max="25" width="32" customWidth="1"/>
    <col min="26" max="26" width="8" customWidth="1"/>
    <col min="27" max="30" width="32" customWidth="1"/>
    <col min="31" max="39" width="8" customWidth="1"/>
  </cols>
  <sheetData>
    <row r="1" spans="1:39" x14ac:dyDescent="0.2">
      <c r="A1" s="3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2">
      <c r="A2" s="1" t="s">
        <v>49</v>
      </c>
      <c r="B2" s="1" t="s">
        <v>39</v>
      </c>
      <c r="C2" s="2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2" t="s">
        <v>46</v>
      </c>
      <c r="J2" s="2" t="s">
        <v>47</v>
      </c>
      <c r="K2" s="1" t="s">
        <v>48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2" t="s">
        <v>62</v>
      </c>
      <c r="Y2" s="2" t="s">
        <v>63</v>
      </c>
      <c r="Z2" s="1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1" t="s">
        <v>69</v>
      </c>
      <c r="AF2" s="1" t="s">
        <v>41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</row>
    <row r="3" spans="1:39" x14ac:dyDescent="0.2">
      <c r="A3" s="1">
        <v>101</v>
      </c>
      <c r="B3" s="1">
        <v>2</v>
      </c>
      <c r="C3" s="2" t="s">
        <v>77</v>
      </c>
      <c r="D3" s="1">
        <v>1</v>
      </c>
      <c r="E3" s="1">
        <v>1</v>
      </c>
      <c r="F3" s="1">
        <v>1</v>
      </c>
      <c r="G3" s="1">
        <v>2</v>
      </c>
      <c r="H3" s="1">
        <v>1</v>
      </c>
      <c r="I3" s="2" t="s">
        <v>78</v>
      </c>
      <c r="J3" s="2"/>
      <c r="K3" s="1">
        <v>2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2</v>
      </c>
      <c r="W3" s="1">
        <v>2</v>
      </c>
      <c r="X3" s="2" t="s">
        <v>79</v>
      </c>
      <c r="Y3" s="2" t="s">
        <v>80</v>
      </c>
      <c r="Z3" s="1">
        <v>3</v>
      </c>
      <c r="AA3" s="2" t="s">
        <v>81</v>
      </c>
      <c r="AB3" s="2" t="s">
        <v>82</v>
      </c>
      <c r="AC3" s="2" t="s">
        <v>83</v>
      </c>
      <c r="AD3" s="2"/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</row>
    <row r="4" spans="1:39" x14ac:dyDescent="0.2">
      <c r="A4" s="1">
        <v>102</v>
      </c>
      <c r="B4" s="1">
        <v>1</v>
      </c>
      <c r="C4" s="2" t="s">
        <v>84</v>
      </c>
      <c r="D4" s="1">
        <v>1</v>
      </c>
      <c r="E4" s="1">
        <v>1</v>
      </c>
      <c r="F4" s="1">
        <v>1</v>
      </c>
      <c r="G4" s="1">
        <v>2</v>
      </c>
      <c r="H4" s="1">
        <v>1</v>
      </c>
      <c r="I4" s="2" t="s">
        <v>78</v>
      </c>
      <c r="J4" s="2"/>
      <c r="K4" s="1">
        <v>1</v>
      </c>
      <c r="L4" s="1">
        <v>5</v>
      </c>
      <c r="M4" s="1">
        <v>5</v>
      </c>
      <c r="N4" s="1">
        <v>4</v>
      </c>
      <c r="O4" s="1">
        <v>4</v>
      </c>
      <c r="P4" s="1">
        <v>5</v>
      </c>
      <c r="Q4" s="1">
        <v>3</v>
      </c>
      <c r="R4" s="1">
        <v>4</v>
      </c>
      <c r="S4" s="1">
        <v>4</v>
      </c>
      <c r="T4" s="1">
        <v>4</v>
      </c>
      <c r="U4" s="1">
        <v>3</v>
      </c>
      <c r="V4" s="1">
        <v>2</v>
      </c>
      <c r="W4" s="1">
        <v>2</v>
      </c>
      <c r="X4" s="2" t="s">
        <v>85</v>
      </c>
      <c r="Y4" s="2" t="s">
        <v>80</v>
      </c>
      <c r="Z4" s="1">
        <v>3</v>
      </c>
      <c r="AA4" s="2" t="s">
        <v>86</v>
      </c>
      <c r="AB4" s="2" t="s">
        <v>87</v>
      </c>
      <c r="AC4" s="2" t="s">
        <v>88</v>
      </c>
      <c r="AD4" s="2"/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</row>
    <row r="5" spans="1:39" s="6" customFormat="1" ht="15" x14ac:dyDescent="0.25">
      <c r="A5" s="4">
        <v>103</v>
      </c>
      <c r="B5" s="4">
        <v>2</v>
      </c>
      <c r="C5" s="5" t="s">
        <v>89</v>
      </c>
      <c r="D5" s="4">
        <v>1</v>
      </c>
      <c r="E5" s="4">
        <v>1</v>
      </c>
      <c r="F5" s="4">
        <v>1</v>
      </c>
      <c r="G5" s="4">
        <v>2</v>
      </c>
      <c r="H5" s="4">
        <v>1</v>
      </c>
      <c r="I5" s="5" t="s">
        <v>78</v>
      </c>
      <c r="J5" s="5"/>
      <c r="K5" s="4">
        <v>1</v>
      </c>
      <c r="L5" s="4">
        <v>5</v>
      </c>
      <c r="M5" s="4">
        <v>5</v>
      </c>
      <c r="N5" s="4">
        <v>4</v>
      </c>
      <c r="O5" s="4">
        <v>4</v>
      </c>
      <c r="P5" s="4">
        <v>4</v>
      </c>
      <c r="Q5" s="4">
        <v>4</v>
      </c>
      <c r="R5" s="4">
        <v>4</v>
      </c>
      <c r="S5" s="4">
        <v>4</v>
      </c>
      <c r="T5" s="4">
        <v>4</v>
      </c>
      <c r="U5" s="4">
        <v>3</v>
      </c>
      <c r="V5" s="4">
        <v>1</v>
      </c>
      <c r="W5" s="4">
        <v>2</v>
      </c>
      <c r="X5" s="5" t="s">
        <v>79</v>
      </c>
      <c r="Y5" s="5" t="s">
        <v>79</v>
      </c>
      <c r="Z5" s="4">
        <v>3</v>
      </c>
      <c r="AA5" s="5" t="s">
        <v>90</v>
      </c>
      <c r="AB5" s="5" t="s">
        <v>91</v>
      </c>
      <c r="AC5" s="5" t="s">
        <v>92</v>
      </c>
      <c r="AD5" s="5"/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</row>
    <row r="6" spans="1:39" x14ac:dyDescent="0.2">
      <c r="A6" s="1">
        <v>104</v>
      </c>
      <c r="B6" s="1">
        <v>2</v>
      </c>
      <c r="C6" s="2" t="s">
        <v>93</v>
      </c>
      <c r="D6" s="1">
        <v>1</v>
      </c>
      <c r="E6" s="1">
        <v>1</v>
      </c>
      <c r="F6" s="1">
        <v>1</v>
      </c>
      <c r="G6" s="1">
        <v>2</v>
      </c>
      <c r="H6" s="1">
        <v>1</v>
      </c>
      <c r="I6" s="2" t="s">
        <v>78</v>
      </c>
      <c r="J6" s="2"/>
      <c r="K6" s="1">
        <v>1</v>
      </c>
      <c r="L6" s="1">
        <v>4</v>
      </c>
      <c r="M6" s="1">
        <v>4</v>
      </c>
      <c r="N6" s="1">
        <v>4</v>
      </c>
      <c r="O6" s="1">
        <v>4</v>
      </c>
      <c r="P6" s="1">
        <v>2</v>
      </c>
      <c r="Q6" s="1">
        <v>4</v>
      </c>
      <c r="R6" s="1">
        <v>2</v>
      </c>
      <c r="S6" s="1">
        <v>4</v>
      </c>
      <c r="T6" s="1">
        <v>4</v>
      </c>
      <c r="U6" s="1">
        <v>4</v>
      </c>
      <c r="V6" s="1">
        <v>2</v>
      </c>
      <c r="W6" s="1">
        <v>2</v>
      </c>
      <c r="X6" s="2" t="s">
        <v>94</v>
      </c>
      <c r="Y6" s="2" t="s">
        <v>80</v>
      </c>
      <c r="Z6" s="1">
        <v>2</v>
      </c>
      <c r="AA6" s="2" t="s">
        <v>95</v>
      </c>
      <c r="AB6" s="2" t="s">
        <v>96</v>
      </c>
      <c r="AC6" s="2"/>
      <c r="AD6" s="2"/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</row>
    <row r="7" spans="1:39" x14ac:dyDescent="0.2">
      <c r="A7" s="1">
        <v>105</v>
      </c>
      <c r="B7" s="1">
        <v>2</v>
      </c>
      <c r="C7" s="2" t="s">
        <v>93</v>
      </c>
      <c r="D7" s="1">
        <v>1</v>
      </c>
      <c r="E7" s="1">
        <v>1</v>
      </c>
      <c r="F7" s="1">
        <v>1</v>
      </c>
      <c r="G7" s="1">
        <v>2</v>
      </c>
      <c r="H7" s="1">
        <v>1</v>
      </c>
      <c r="I7" s="2" t="s">
        <v>78</v>
      </c>
      <c r="J7" s="2"/>
      <c r="K7" s="1">
        <v>2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3</v>
      </c>
      <c r="T7" s="1">
        <v>5</v>
      </c>
      <c r="U7" s="1">
        <v>5</v>
      </c>
      <c r="V7" s="1">
        <v>2</v>
      </c>
      <c r="W7" s="1">
        <v>2</v>
      </c>
      <c r="X7" s="2" t="s">
        <v>97</v>
      </c>
      <c r="Y7" s="2" t="s">
        <v>80</v>
      </c>
      <c r="Z7" s="1">
        <v>3</v>
      </c>
      <c r="AA7" s="2" t="s">
        <v>98</v>
      </c>
      <c r="AB7" s="2" t="s">
        <v>99</v>
      </c>
      <c r="AC7" s="2" t="s">
        <v>100</v>
      </c>
      <c r="AD7" s="2"/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</row>
    <row r="8" spans="1:39" x14ac:dyDescent="0.2">
      <c r="A8" s="1">
        <v>106</v>
      </c>
      <c r="B8" s="1">
        <v>2</v>
      </c>
      <c r="C8" s="2" t="s">
        <v>93</v>
      </c>
      <c r="D8" s="1">
        <v>1</v>
      </c>
      <c r="E8" s="1">
        <v>1</v>
      </c>
      <c r="F8" s="1">
        <v>1</v>
      </c>
      <c r="G8" s="1">
        <v>2</v>
      </c>
      <c r="H8" s="1">
        <v>1</v>
      </c>
      <c r="I8" s="2" t="s">
        <v>78</v>
      </c>
      <c r="J8" s="2"/>
      <c r="K8" s="1">
        <v>2</v>
      </c>
      <c r="L8" s="1">
        <v>5</v>
      </c>
      <c r="M8" s="1">
        <v>5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3</v>
      </c>
      <c r="T8" s="1">
        <v>4</v>
      </c>
      <c r="U8" s="1">
        <v>3</v>
      </c>
      <c r="V8" s="1">
        <v>2</v>
      </c>
      <c r="W8" s="1">
        <v>2</v>
      </c>
      <c r="X8" s="2" t="s">
        <v>97</v>
      </c>
      <c r="Y8" s="2" t="s">
        <v>80</v>
      </c>
      <c r="Z8" s="1">
        <v>3</v>
      </c>
      <c r="AA8" s="2" t="s">
        <v>101</v>
      </c>
      <c r="AB8" s="2" t="s">
        <v>102</v>
      </c>
      <c r="AC8" s="2" t="s">
        <v>103</v>
      </c>
      <c r="AD8" s="2"/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</row>
    <row r="9" spans="1:39" s="6" customFormat="1" ht="15" x14ac:dyDescent="0.25">
      <c r="A9" s="4">
        <v>107</v>
      </c>
      <c r="B9" s="4">
        <v>1</v>
      </c>
      <c r="C9" s="5" t="s">
        <v>77</v>
      </c>
      <c r="D9" s="4">
        <v>1</v>
      </c>
      <c r="E9" s="4">
        <v>1</v>
      </c>
      <c r="F9" s="4">
        <v>1</v>
      </c>
      <c r="G9" s="4">
        <v>2</v>
      </c>
      <c r="H9" s="4">
        <v>1</v>
      </c>
      <c r="I9" s="5" t="s">
        <v>78</v>
      </c>
      <c r="J9" s="5"/>
      <c r="K9" s="4">
        <v>2</v>
      </c>
      <c r="L9" s="4">
        <v>4</v>
      </c>
      <c r="M9" s="4">
        <v>4</v>
      </c>
      <c r="N9" s="4">
        <v>4</v>
      </c>
      <c r="O9" s="4">
        <v>4</v>
      </c>
      <c r="P9" s="4">
        <v>3</v>
      </c>
      <c r="Q9" s="4">
        <v>4</v>
      </c>
      <c r="R9" s="4">
        <v>3</v>
      </c>
      <c r="S9" s="4">
        <v>3</v>
      </c>
      <c r="T9" s="4">
        <v>3</v>
      </c>
      <c r="U9" s="4">
        <v>3</v>
      </c>
      <c r="V9" s="4">
        <v>2</v>
      </c>
      <c r="W9" s="4">
        <v>2</v>
      </c>
      <c r="X9" s="5" t="s">
        <v>97</v>
      </c>
      <c r="Y9" s="5" t="s">
        <v>80</v>
      </c>
      <c r="Z9" s="4">
        <v>2</v>
      </c>
      <c r="AA9" s="5" t="s">
        <v>104</v>
      </c>
      <c r="AB9" s="5" t="s">
        <v>105</v>
      </c>
      <c r="AC9" s="5"/>
      <c r="AD9" s="5"/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2</v>
      </c>
    </row>
    <row r="10" spans="1:39" x14ac:dyDescent="0.2">
      <c r="A10" s="1">
        <v>108</v>
      </c>
      <c r="B10" s="1">
        <v>2</v>
      </c>
      <c r="C10" s="2" t="s">
        <v>93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2" t="s">
        <v>78</v>
      </c>
      <c r="J10" s="2"/>
      <c r="K10" s="1">
        <v>2</v>
      </c>
      <c r="L10" s="1">
        <v>5</v>
      </c>
      <c r="M10" s="1">
        <v>5</v>
      </c>
      <c r="N10" s="1">
        <v>4</v>
      </c>
      <c r="O10" s="1">
        <v>4</v>
      </c>
      <c r="P10" s="1">
        <v>4</v>
      </c>
      <c r="Q10" s="1">
        <v>4</v>
      </c>
      <c r="R10" s="1">
        <v>3</v>
      </c>
      <c r="S10" s="1">
        <v>3</v>
      </c>
      <c r="T10" s="1">
        <v>4</v>
      </c>
      <c r="U10" s="1">
        <v>3</v>
      </c>
      <c r="V10" s="1">
        <v>2</v>
      </c>
      <c r="W10" s="1">
        <v>2</v>
      </c>
      <c r="X10" s="2" t="s">
        <v>97</v>
      </c>
      <c r="Y10" s="2" t="s">
        <v>80</v>
      </c>
      <c r="Z10" s="1">
        <v>3</v>
      </c>
      <c r="AA10" s="2" t="s">
        <v>106</v>
      </c>
      <c r="AB10" s="2" t="s">
        <v>107</v>
      </c>
      <c r="AC10" s="2" t="s">
        <v>108</v>
      </c>
      <c r="AD10" s="2"/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</row>
    <row r="11" spans="1:39" x14ac:dyDescent="0.2">
      <c r="A11" s="1">
        <v>109</v>
      </c>
      <c r="B11" s="1">
        <v>2</v>
      </c>
      <c r="C11" s="2" t="s">
        <v>84</v>
      </c>
      <c r="D11" s="1">
        <v>1</v>
      </c>
      <c r="E11" s="1">
        <v>1</v>
      </c>
      <c r="F11" s="1">
        <v>1</v>
      </c>
      <c r="G11" s="1">
        <v>2</v>
      </c>
      <c r="H11" s="1">
        <v>1</v>
      </c>
      <c r="I11" s="2" t="s">
        <v>78</v>
      </c>
      <c r="J11" s="2"/>
      <c r="K11" s="1">
        <v>2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5</v>
      </c>
      <c r="V11" s="1">
        <v>2</v>
      </c>
      <c r="W11" s="1">
        <v>2</v>
      </c>
      <c r="X11" s="2" t="s">
        <v>97</v>
      </c>
      <c r="Y11" s="2" t="s">
        <v>80</v>
      </c>
      <c r="Z11" s="1">
        <v>3</v>
      </c>
      <c r="AA11" s="2" t="s">
        <v>95</v>
      </c>
      <c r="AB11" s="2" t="s">
        <v>109</v>
      </c>
      <c r="AC11" s="2" t="s">
        <v>110</v>
      </c>
      <c r="AD11" s="2"/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</row>
    <row r="12" spans="1:39" x14ac:dyDescent="0.2">
      <c r="A12" s="1">
        <v>110</v>
      </c>
      <c r="B12" s="1">
        <v>2</v>
      </c>
      <c r="C12" s="2" t="s">
        <v>89</v>
      </c>
      <c r="D12" s="1">
        <v>1</v>
      </c>
      <c r="E12" s="1">
        <v>1</v>
      </c>
      <c r="F12" s="1">
        <v>1</v>
      </c>
      <c r="G12" s="1">
        <v>2</v>
      </c>
      <c r="H12" s="1">
        <v>1</v>
      </c>
      <c r="I12" s="2" t="s">
        <v>78</v>
      </c>
      <c r="J12" s="2"/>
      <c r="K12" s="1">
        <v>2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2</v>
      </c>
      <c r="T12" s="1">
        <v>4</v>
      </c>
      <c r="U12" s="1">
        <v>4</v>
      </c>
      <c r="V12" s="1">
        <v>2</v>
      </c>
      <c r="W12" s="1">
        <v>2</v>
      </c>
      <c r="X12" s="2" t="s">
        <v>111</v>
      </c>
      <c r="Y12" s="2" t="s">
        <v>80</v>
      </c>
      <c r="Z12" s="1">
        <v>2</v>
      </c>
      <c r="AA12" s="2" t="s">
        <v>112</v>
      </c>
      <c r="AB12" s="2" t="s">
        <v>113</v>
      </c>
      <c r="AC12" s="2"/>
      <c r="AD12" s="2"/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</row>
    <row r="13" spans="1:39" x14ac:dyDescent="0.2">
      <c r="A13" s="1">
        <v>111</v>
      </c>
      <c r="B13" s="1">
        <v>2</v>
      </c>
      <c r="C13" s="2" t="s">
        <v>77</v>
      </c>
      <c r="D13" s="1">
        <v>1</v>
      </c>
      <c r="E13" s="1">
        <v>1</v>
      </c>
      <c r="F13" s="1">
        <v>1</v>
      </c>
      <c r="G13" s="1">
        <v>2</v>
      </c>
      <c r="H13" s="1">
        <v>1</v>
      </c>
      <c r="I13" s="2" t="s">
        <v>78</v>
      </c>
      <c r="J13" s="2"/>
      <c r="K13" s="1">
        <v>2</v>
      </c>
      <c r="L13" s="1">
        <v>5</v>
      </c>
      <c r="M13" s="1">
        <v>5</v>
      </c>
      <c r="N13" s="1">
        <v>4</v>
      </c>
      <c r="O13" s="1">
        <v>5</v>
      </c>
      <c r="P13" s="1">
        <v>4</v>
      </c>
      <c r="Q13" s="1">
        <v>5</v>
      </c>
      <c r="R13" s="1">
        <v>4</v>
      </c>
      <c r="S13" s="1">
        <v>5</v>
      </c>
      <c r="T13" s="1">
        <v>5</v>
      </c>
      <c r="U13" s="1">
        <v>3</v>
      </c>
      <c r="V13" s="1">
        <v>2</v>
      </c>
      <c r="W13" s="1">
        <v>2</v>
      </c>
      <c r="X13" s="2" t="s">
        <v>97</v>
      </c>
      <c r="Y13" s="2" t="s">
        <v>80</v>
      </c>
      <c r="Z13" s="1">
        <v>2</v>
      </c>
      <c r="AA13" s="2" t="s">
        <v>114</v>
      </c>
      <c r="AB13" s="2" t="s">
        <v>115</v>
      </c>
      <c r="AC13" s="2"/>
      <c r="AD13" s="2"/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</row>
    <row r="14" spans="1:39" x14ac:dyDescent="0.2">
      <c r="A14" s="1">
        <v>112</v>
      </c>
      <c r="B14" s="1">
        <v>2</v>
      </c>
      <c r="C14" s="2" t="s">
        <v>93</v>
      </c>
      <c r="D14" s="1">
        <v>1</v>
      </c>
      <c r="E14" s="1">
        <v>1</v>
      </c>
      <c r="F14" s="1">
        <v>1</v>
      </c>
      <c r="G14" s="1">
        <v>2</v>
      </c>
      <c r="H14" s="1">
        <v>1</v>
      </c>
      <c r="I14" s="2" t="s">
        <v>78</v>
      </c>
      <c r="J14" s="2"/>
      <c r="K14" s="1">
        <v>2</v>
      </c>
      <c r="L14" s="1">
        <v>5</v>
      </c>
      <c r="M14" s="1">
        <v>5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3</v>
      </c>
      <c r="T14" s="1">
        <v>5</v>
      </c>
      <c r="U14" s="1">
        <v>4</v>
      </c>
      <c r="V14" s="1">
        <v>2</v>
      </c>
      <c r="W14" s="1">
        <v>2</v>
      </c>
      <c r="X14" s="2" t="s">
        <v>97</v>
      </c>
      <c r="Y14" s="2" t="s">
        <v>80</v>
      </c>
      <c r="Z14" s="1">
        <v>2</v>
      </c>
      <c r="AA14" s="2" t="s">
        <v>78</v>
      </c>
      <c r="AB14" s="2" t="s">
        <v>113</v>
      </c>
      <c r="AC14" s="2"/>
      <c r="AD14" s="2"/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</row>
    <row r="15" spans="1:39" x14ac:dyDescent="0.2">
      <c r="A15" s="1">
        <v>113</v>
      </c>
      <c r="B15" s="1">
        <v>2</v>
      </c>
      <c r="C15" s="2" t="s">
        <v>89</v>
      </c>
      <c r="D15" s="1">
        <v>1</v>
      </c>
      <c r="E15" s="1">
        <v>1</v>
      </c>
      <c r="F15" s="1">
        <v>1</v>
      </c>
      <c r="G15" s="1">
        <v>2</v>
      </c>
      <c r="H15" s="1">
        <v>1</v>
      </c>
      <c r="I15" s="2" t="s">
        <v>78</v>
      </c>
      <c r="J15" s="2"/>
      <c r="K15" s="1">
        <v>2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2</v>
      </c>
      <c r="W15" s="1">
        <v>1</v>
      </c>
      <c r="X15" s="2" t="s">
        <v>79</v>
      </c>
      <c r="Y15" s="2" t="s">
        <v>80</v>
      </c>
      <c r="Z15" s="1">
        <v>2</v>
      </c>
      <c r="AA15" s="2" t="s">
        <v>116</v>
      </c>
      <c r="AB15" s="2" t="s">
        <v>117</v>
      </c>
      <c r="AC15" s="2"/>
      <c r="AD15" s="2"/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</row>
    <row r="16" spans="1:39" x14ac:dyDescent="0.2">
      <c r="A16" s="1">
        <v>114</v>
      </c>
      <c r="B16" s="1">
        <v>2</v>
      </c>
      <c r="C16" s="2" t="s">
        <v>89</v>
      </c>
      <c r="D16" s="1">
        <v>1</v>
      </c>
      <c r="E16" s="1">
        <v>1</v>
      </c>
      <c r="F16" s="1">
        <v>1</v>
      </c>
      <c r="G16" s="1">
        <v>2</v>
      </c>
      <c r="H16" s="1">
        <v>1</v>
      </c>
      <c r="I16" s="2" t="s">
        <v>78</v>
      </c>
      <c r="J16" s="2"/>
      <c r="K16" s="1">
        <v>2</v>
      </c>
      <c r="L16" s="1">
        <v>5</v>
      </c>
      <c r="M16" s="1">
        <v>5</v>
      </c>
      <c r="N16" s="1">
        <v>4</v>
      </c>
      <c r="O16" s="1">
        <v>5</v>
      </c>
      <c r="P16" s="1">
        <v>4</v>
      </c>
      <c r="Q16" s="1">
        <v>5</v>
      </c>
      <c r="R16" s="1">
        <v>4</v>
      </c>
      <c r="S16" s="1">
        <v>3</v>
      </c>
      <c r="T16" s="1">
        <v>5</v>
      </c>
      <c r="U16" s="1">
        <v>3</v>
      </c>
      <c r="V16" s="1">
        <v>2</v>
      </c>
      <c r="W16" s="1">
        <v>2</v>
      </c>
      <c r="X16" s="2" t="s">
        <v>97</v>
      </c>
      <c r="Y16" s="2" t="s">
        <v>80</v>
      </c>
      <c r="Z16" s="1">
        <v>2</v>
      </c>
      <c r="AA16" s="2" t="s">
        <v>112</v>
      </c>
      <c r="AB16" s="2" t="s">
        <v>107</v>
      </c>
      <c r="AC16" s="2"/>
      <c r="AD16" s="2"/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</row>
    <row r="17" spans="1:39" x14ac:dyDescent="0.2">
      <c r="A17" s="1">
        <v>115</v>
      </c>
      <c r="B17" s="1">
        <v>1</v>
      </c>
      <c r="C17" s="2" t="s">
        <v>118</v>
      </c>
      <c r="D17" s="1">
        <v>1</v>
      </c>
      <c r="E17" s="1">
        <v>1</v>
      </c>
      <c r="F17" s="1">
        <v>1</v>
      </c>
      <c r="G17" s="1">
        <v>2</v>
      </c>
      <c r="H17" s="1">
        <v>1</v>
      </c>
      <c r="I17" s="2" t="s">
        <v>78</v>
      </c>
      <c r="J17" s="2"/>
      <c r="K17" s="1">
        <v>2</v>
      </c>
      <c r="L17" s="1">
        <v>5</v>
      </c>
      <c r="M17" s="1">
        <v>5</v>
      </c>
      <c r="N17" s="1">
        <v>4</v>
      </c>
      <c r="O17" s="1">
        <v>5</v>
      </c>
      <c r="P17" s="1">
        <v>5</v>
      </c>
      <c r="Q17" s="1">
        <v>4</v>
      </c>
      <c r="R17" s="1">
        <v>4</v>
      </c>
      <c r="S17" s="1">
        <v>5</v>
      </c>
      <c r="T17" s="1">
        <v>4</v>
      </c>
      <c r="U17" s="1">
        <v>4</v>
      </c>
      <c r="V17" s="1">
        <v>2</v>
      </c>
      <c r="W17" s="1">
        <v>2</v>
      </c>
      <c r="X17" s="2" t="s">
        <v>97</v>
      </c>
      <c r="Y17" s="2" t="s">
        <v>80</v>
      </c>
      <c r="Z17" s="1">
        <v>3</v>
      </c>
      <c r="AA17" s="2" t="s">
        <v>119</v>
      </c>
      <c r="AB17" s="2" t="s">
        <v>120</v>
      </c>
      <c r="AC17" s="2" t="s">
        <v>121</v>
      </c>
      <c r="AD17" s="2"/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</row>
    <row r="18" spans="1:39" x14ac:dyDescent="0.2">
      <c r="A18" s="1">
        <v>116</v>
      </c>
      <c r="B18" s="1">
        <v>2</v>
      </c>
      <c r="C18" s="2" t="s">
        <v>122</v>
      </c>
      <c r="D18" s="1">
        <v>1</v>
      </c>
      <c r="E18" s="1">
        <v>1</v>
      </c>
      <c r="F18" s="1">
        <v>1</v>
      </c>
      <c r="G18" s="1">
        <v>2</v>
      </c>
      <c r="H18" s="1">
        <v>1</v>
      </c>
      <c r="I18" s="2" t="s">
        <v>78</v>
      </c>
      <c r="J18" s="2"/>
      <c r="K18" s="1">
        <v>2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2</v>
      </c>
      <c r="W18" s="1">
        <v>2</v>
      </c>
      <c r="X18" s="2" t="s">
        <v>79</v>
      </c>
      <c r="Y18" s="2" t="s">
        <v>80</v>
      </c>
      <c r="Z18" s="1">
        <v>3</v>
      </c>
      <c r="AA18" s="2" t="s">
        <v>116</v>
      </c>
      <c r="AB18" s="2" t="s">
        <v>88</v>
      </c>
      <c r="AC18" s="2" t="s">
        <v>123</v>
      </c>
      <c r="AD18" s="2"/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</row>
    <row r="19" spans="1:39" x14ac:dyDescent="0.2">
      <c r="A19" s="1">
        <v>117</v>
      </c>
      <c r="B19" s="1">
        <v>2</v>
      </c>
      <c r="C19" s="2" t="s">
        <v>124</v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2" t="s">
        <v>78</v>
      </c>
      <c r="J19" s="2"/>
      <c r="K19" s="1">
        <v>2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4</v>
      </c>
      <c r="R19" s="1">
        <v>5</v>
      </c>
      <c r="S19" s="1">
        <v>3</v>
      </c>
      <c r="T19" s="1">
        <v>5</v>
      </c>
      <c r="U19" s="1">
        <v>4</v>
      </c>
      <c r="V19" s="1">
        <v>2</v>
      </c>
      <c r="W19" s="1">
        <v>1</v>
      </c>
      <c r="X19" s="2" t="s">
        <v>97</v>
      </c>
      <c r="Y19" s="2" t="s">
        <v>97</v>
      </c>
      <c r="Z19" s="1">
        <v>2</v>
      </c>
      <c r="AA19" s="2" t="s">
        <v>125</v>
      </c>
      <c r="AB19" s="2" t="s">
        <v>126</v>
      </c>
      <c r="AC19" s="2"/>
      <c r="AD19" s="2"/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</row>
    <row r="20" spans="1:39" x14ac:dyDescent="0.2">
      <c r="A20" s="1">
        <v>118</v>
      </c>
      <c r="B20" s="1">
        <v>2</v>
      </c>
      <c r="C20" s="2" t="s">
        <v>93</v>
      </c>
      <c r="D20" s="1">
        <v>1</v>
      </c>
      <c r="E20" s="1">
        <v>1</v>
      </c>
      <c r="F20" s="1">
        <v>1</v>
      </c>
      <c r="G20" s="1">
        <v>2</v>
      </c>
      <c r="H20" s="1">
        <v>1</v>
      </c>
      <c r="I20" s="2" t="s">
        <v>78</v>
      </c>
      <c r="J20" s="2"/>
      <c r="K20" s="1">
        <v>2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1</v>
      </c>
      <c r="T20" s="1">
        <v>4</v>
      </c>
      <c r="U20" s="1">
        <v>4</v>
      </c>
      <c r="V20" s="1">
        <v>2</v>
      </c>
      <c r="W20" s="1">
        <v>2</v>
      </c>
      <c r="X20" s="2" t="s">
        <v>97</v>
      </c>
      <c r="Y20" s="2" t="s">
        <v>80</v>
      </c>
      <c r="Z20" s="1">
        <v>3</v>
      </c>
      <c r="AA20" s="2" t="s">
        <v>127</v>
      </c>
      <c r="AB20" s="2" t="s">
        <v>128</v>
      </c>
      <c r="AC20" s="2" t="s">
        <v>129</v>
      </c>
      <c r="AD20" s="2"/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</row>
    <row r="21" spans="1:39" s="6" customFormat="1" ht="15" x14ac:dyDescent="0.25">
      <c r="A21" s="4">
        <v>119</v>
      </c>
      <c r="B21" s="4">
        <v>2</v>
      </c>
      <c r="C21" s="5" t="s">
        <v>130</v>
      </c>
      <c r="D21" s="4">
        <v>1</v>
      </c>
      <c r="E21" s="4">
        <v>1</v>
      </c>
      <c r="F21" s="4">
        <v>1</v>
      </c>
      <c r="G21" s="4">
        <v>2</v>
      </c>
      <c r="H21" s="4">
        <v>2</v>
      </c>
      <c r="I21" s="5" t="s">
        <v>78</v>
      </c>
      <c r="J21" s="5" t="s">
        <v>131</v>
      </c>
      <c r="K21" s="4">
        <v>1</v>
      </c>
      <c r="L21" s="4">
        <v>5</v>
      </c>
      <c r="M21" s="4">
        <v>5</v>
      </c>
      <c r="N21" s="4">
        <v>4</v>
      </c>
      <c r="O21" s="4">
        <v>4</v>
      </c>
      <c r="P21" s="4">
        <v>4</v>
      </c>
      <c r="Q21" s="4">
        <v>5</v>
      </c>
      <c r="R21" s="4">
        <v>4</v>
      </c>
      <c r="S21" s="4">
        <v>4</v>
      </c>
      <c r="T21" s="4">
        <v>4</v>
      </c>
      <c r="U21" s="4">
        <v>3</v>
      </c>
      <c r="V21" s="4">
        <v>2</v>
      </c>
      <c r="W21" s="4">
        <v>1</v>
      </c>
      <c r="X21" s="5" t="s">
        <v>97</v>
      </c>
      <c r="Y21" s="5" t="s">
        <v>80</v>
      </c>
      <c r="Z21" s="4">
        <v>4</v>
      </c>
      <c r="AA21" s="5" t="s">
        <v>132</v>
      </c>
      <c r="AB21" s="5" t="s">
        <v>133</v>
      </c>
      <c r="AC21" s="5" t="s">
        <v>117</v>
      </c>
      <c r="AD21" s="5" t="s">
        <v>102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</row>
    <row r="22" spans="1:39" x14ac:dyDescent="0.2">
      <c r="A22" s="1">
        <v>120</v>
      </c>
      <c r="B22" s="1">
        <v>2</v>
      </c>
      <c r="C22" s="2" t="s">
        <v>134</v>
      </c>
      <c r="D22" s="1">
        <v>1</v>
      </c>
      <c r="E22" s="1">
        <v>1</v>
      </c>
      <c r="F22" s="1">
        <v>1</v>
      </c>
      <c r="G22" s="1">
        <v>2</v>
      </c>
      <c r="H22" s="1">
        <v>1</v>
      </c>
      <c r="I22" s="2" t="s">
        <v>78</v>
      </c>
      <c r="J22" s="2"/>
      <c r="K22" s="1">
        <v>2</v>
      </c>
      <c r="L22" s="1">
        <v>5</v>
      </c>
      <c r="M22" s="1">
        <v>5</v>
      </c>
      <c r="N22" s="1">
        <v>4</v>
      </c>
      <c r="O22" s="1">
        <v>5</v>
      </c>
      <c r="P22" s="1">
        <v>4</v>
      </c>
      <c r="Q22" s="1">
        <v>5</v>
      </c>
      <c r="R22" s="1">
        <v>4</v>
      </c>
      <c r="S22" s="1">
        <v>4</v>
      </c>
      <c r="T22" s="1">
        <v>5</v>
      </c>
      <c r="U22" s="1">
        <v>4</v>
      </c>
      <c r="V22" s="1">
        <v>2</v>
      </c>
      <c r="W22" s="1">
        <v>2</v>
      </c>
      <c r="X22" s="2" t="s">
        <v>79</v>
      </c>
      <c r="Y22" s="2" t="s">
        <v>80</v>
      </c>
      <c r="Z22" s="1">
        <v>3</v>
      </c>
      <c r="AA22" s="2" t="s">
        <v>135</v>
      </c>
      <c r="AB22" s="2" t="s">
        <v>136</v>
      </c>
      <c r="AC22" s="2" t="s">
        <v>137</v>
      </c>
      <c r="AD22" s="2"/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</row>
    <row r="23" spans="1:39" x14ac:dyDescent="0.2">
      <c r="A23" s="1">
        <v>121</v>
      </c>
      <c r="B23" s="1">
        <v>2</v>
      </c>
      <c r="C23" s="2" t="s">
        <v>77</v>
      </c>
      <c r="D23" s="1">
        <v>1</v>
      </c>
      <c r="E23" s="1">
        <v>1</v>
      </c>
      <c r="F23" s="1">
        <v>1</v>
      </c>
      <c r="G23" s="1">
        <v>2</v>
      </c>
      <c r="H23" s="1">
        <v>1</v>
      </c>
      <c r="I23" s="2" t="s">
        <v>78</v>
      </c>
      <c r="J23" s="2"/>
      <c r="K23" s="1">
        <v>2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5</v>
      </c>
      <c r="V23" s="1">
        <v>2</v>
      </c>
      <c r="W23" s="1">
        <v>2</v>
      </c>
      <c r="X23" s="2" t="s">
        <v>97</v>
      </c>
      <c r="Y23" s="2" t="s">
        <v>80</v>
      </c>
      <c r="Z23" s="1">
        <v>2</v>
      </c>
      <c r="AA23" s="2" t="s">
        <v>138</v>
      </c>
      <c r="AB23" s="2" t="s">
        <v>139</v>
      </c>
      <c r="AC23" s="2"/>
      <c r="AD23" s="2"/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</row>
    <row r="24" spans="1:39" x14ac:dyDescent="0.2">
      <c r="A24" s="1">
        <v>122</v>
      </c>
      <c r="B24" s="1">
        <v>2</v>
      </c>
      <c r="C24" s="2" t="s">
        <v>89</v>
      </c>
      <c r="D24" s="1">
        <v>1</v>
      </c>
      <c r="E24" s="1">
        <v>1</v>
      </c>
      <c r="F24" s="1">
        <v>1</v>
      </c>
      <c r="G24" s="1">
        <v>2</v>
      </c>
      <c r="H24" s="1">
        <v>1</v>
      </c>
      <c r="I24" s="2" t="s">
        <v>78</v>
      </c>
      <c r="J24" s="2"/>
      <c r="K24" s="1">
        <v>2</v>
      </c>
      <c r="L24" s="1">
        <v>5</v>
      </c>
      <c r="M24" s="1">
        <v>5</v>
      </c>
      <c r="N24" s="1">
        <v>5</v>
      </c>
      <c r="O24" s="1">
        <v>5</v>
      </c>
      <c r="P24" s="1">
        <v>4</v>
      </c>
      <c r="Q24" s="1">
        <v>5</v>
      </c>
      <c r="R24" s="1">
        <v>4</v>
      </c>
      <c r="S24" s="1">
        <v>3</v>
      </c>
      <c r="T24" s="1">
        <v>5</v>
      </c>
      <c r="U24" s="1">
        <v>4</v>
      </c>
      <c r="V24" s="1">
        <v>2</v>
      </c>
      <c r="W24" s="1">
        <v>2</v>
      </c>
      <c r="X24" s="2" t="s">
        <v>97</v>
      </c>
      <c r="Y24" s="2" t="s">
        <v>80</v>
      </c>
      <c r="Z24" s="1">
        <v>2</v>
      </c>
      <c r="AA24" s="2" t="s">
        <v>104</v>
      </c>
      <c r="AB24" s="2" t="s">
        <v>113</v>
      </c>
      <c r="AC24" s="2"/>
      <c r="AD24" s="2"/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</row>
    <row r="25" spans="1:39" x14ac:dyDescent="0.2">
      <c r="A25" s="1">
        <v>123</v>
      </c>
      <c r="B25" s="1">
        <v>4</v>
      </c>
      <c r="C25" s="2" t="s">
        <v>140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2" t="s">
        <v>78</v>
      </c>
      <c r="J25" s="2"/>
      <c r="K25" s="1">
        <v>2</v>
      </c>
      <c r="L25" s="1">
        <v>5</v>
      </c>
      <c r="M25" s="1">
        <v>5</v>
      </c>
      <c r="N25" s="1">
        <v>4</v>
      </c>
      <c r="O25" s="1">
        <v>5</v>
      </c>
      <c r="P25" s="1">
        <v>3</v>
      </c>
      <c r="Q25" s="1">
        <v>5</v>
      </c>
      <c r="R25" s="1">
        <v>4</v>
      </c>
      <c r="S25" s="1">
        <v>4</v>
      </c>
      <c r="T25" s="1">
        <v>5</v>
      </c>
      <c r="U25" s="1">
        <v>4</v>
      </c>
      <c r="V25" s="1">
        <v>2</v>
      </c>
      <c r="W25" s="1">
        <v>2</v>
      </c>
      <c r="X25" s="2" t="s">
        <v>80</v>
      </c>
      <c r="Y25" s="2" t="s">
        <v>80</v>
      </c>
      <c r="Z25" s="1">
        <v>4</v>
      </c>
      <c r="AA25" s="2" t="s">
        <v>101</v>
      </c>
      <c r="AB25" s="2" t="s">
        <v>141</v>
      </c>
      <c r="AC25" s="2" t="s">
        <v>110</v>
      </c>
      <c r="AD25" s="2" t="s">
        <v>132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</row>
    <row r="26" spans="1:39" x14ac:dyDescent="0.2">
      <c r="A26" s="1">
        <v>125</v>
      </c>
      <c r="B26" s="1">
        <v>2</v>
      </c>
      <c r="C26" s="2" t="s">
        <v>122</v>
      </c>
      <c r="D26" s="1">
        <v>1</v>
      </c>
      <c r="E26" s="1">
        <v>1</v>
      </c>
      <c r="F26" s="1">
        <v>1</v>
      </c>
      <c r="G26" s="1">
        <v>2</v>
      </c>
      <c r="H26" s="1">
        <v>1</v>
      </c>
      <c r="I26" s="2" t="s">
        <v>78</v>
      </c>
      <c r="J26" s="2"/>
      <c r="K26" s="1">
        <v>2</v>
      </c>
      <c r="L26" s="1">
        <v>5</v>
      </c>
      <c r="M26" s="1">
        <v>5</v>
      </c>
      <c r="N26" s="1">
        <v>4</v>
      </c>
      <c r="O26" s="1">
        <v>5</v>
      </c>
      <c r="P26" s="1">
        <v>4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2</v>
      </c>
      <c r="W26" s="1">
        <v>1</v>
      </c>
      <c r="X26" s="2" t="s">
        <v>97</v>
      </c>
      <c r="Y26" s="2" t="s">
        <v>80</v>
      </c>
      <c r="Z26" s="1">
        <v>2</v>
      </c>
      <c r="AA26" s="2" t="s">
        <v>104</v>
      </c>
      <c r="AB26" s="2" t="s">
        <v>113</v>
      </c>
      <c r="AC26" s="2"/>
      <c r="AD26" s="2"/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</row>
    <row r="27" spans="1:39" x14ac:dyDescent="0.2">
      <c r="A27" s="1">
        <v>126</v>
      </c>
      <c r="B27" s="1">
        <v>2</v>
      </c>
      <c r="C27" s="2" t="s">
        <v>84</v>
      </c>
      <c r="D27" s="1">
        <v>1</v>
      </c>
      <c r="E27" s="1">
        <v>1</v>
      </c>
      <c r="F27" s="1">
        <v>1</v>
      </c>
      <c r="G27" s="1">
        <v>2</v>
      </c>
      <c r="H27" s="1">
        <v>1</v>
      </c>
      <c r="I27" s="2" t="s">
        <v>78</v>
      </c>
      <c r="J27" s="2"/>
      <c r="K27" s="1">
        <v>2</v>
      </c>
      <c r="L27" s="1">
        <v>4</v>
      </c>
      <c r="M27" s="1">
        <v>4</v>
      </c>
      <c r="N27" s="1">
        <v>2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1</v>
      </c>
      <c r="W27" s="1">
        <v>2</v>
      </c>
      <c r="X27" s="2" t="s">
        <v>79</v>
      </c>
      <c r="Y27" s="2" t="s">
        <v>80</v>
      </c>
      <c r="Z27" s="1">
        <v>3</v>
      </c>
      <c r="AA27" s="2" t="s">
        <v>116</v>
      </c>
      <c r="AB27" s="2" t="s">
        <v>142</v>
      </c>
      <c r="AC27" s="2" t="s">
        <v>143</v>
      </c>
      <c r="AD27" s="2"/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</row>
    <row r="28" spans="1:39" x14ac:dyDescent="0.2">
      <c r="A28" s="1">
        <v>127</v>
      </c>
      <c r="B28" s="1">
        <v>1</v>
      </c>
      <c r="C28" s="2" t="s">
        <v>93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2" t="s">
        <v>78</v>
      </c>
      <c r="J28" s="2"/>
      <c r="K28" s="1">
        <v>2</v>
      </c>
      <c r="L28" s="1">
        <v>5</v>
      </c>
      <c r="M28" s="1">
        <v>5</v>
      </c>
      <c r="N28" s="1">
        <v>5</v>
      </c>
      <c r="O28" s="1">
        <v>5</v>
      </c>
      <c r="P28" s="1">
        <v>3</v>
      </c>
      <c r="Q28" s="1">
        <v>5</v>
      </c>
      <c r="R28" s="1">
        <v>4</v>
      </c>
      <c r="S28" s="1">
        <v>3</v>
      </c>
      <c r="T28" s="1">
        <v>5</v>
      </c>
      <c r="U28" s="1">
        <v>3</v>
      </c>
      <c r="V28" s="1">
        <v>2</v>
      </c>
      <c r="W28" s="1">
        <v>2</v>
      </c>
      <c r="X28" s="2" t="s">
        <v>85</v>
      </c>
      <c r="Y28" s="2" t="s">
        <v>97</v>
      </c>
      <c r="Z28" s="1">
        <v>2</v>
      </c>
      <c r="AA28" s="2" t="s">
        <v>144</v>
      </c>
      <c r="AB28" s="2" t="s">
        <v>120</v>
      </c>
      <c r="AC28" s="2"/>
      <c r="AD28" s="2"/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</row>
    <row r="29" spans="1:39" x14ac:dyDescent="0.2">
      <c r="A29" s="1">
        <v>128</v>
      </c>
      <c r="B29" s="1">
        <v>2</v>
      </c>
      <c r="C29" s="2" t="s">
        <v>145</v>
      </c>
      <c r="D29" s="1">
        <v>1</v>
      </c>
      <c r="E29" s="1">
        <v>1</v>
      </c>
      <c r="F29" s="1">
        <v>1</v>
      </c>
      <c r="G29" s="1">
        <v>2</v>
      </c>
      <c r="H29" s="1">
        <v>1</v>
      </c>
      <c r="I29" s="2" t="s">
        <v>78</v>
      </c>
      <c r="J29" s="2"/>
      <c r="K29" s="1">
        <v>1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1</v>
      </c>
      <c r="W29" s="1">
        <v>2</v>
      </c>
      <c r="X29" s="2" t="s">
        <v>97</v>
      </c>
      <c r="Y29" s="2" t="s">
        <v>80</v>
      </c>
      <c r="Z29" s="1">
        <v>1</v>
      </c>
      <c r="AA29" s="2" t="s">
        <v>95</v>
      </c>
      <c r="AB29" s="2"/>
      <c r="AC29" s="2"/>
      <c r="AD29" s="2"/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</row>
    <row r="30" spans="1:39" s="6" customFormat="1" ht="15" x14ac:dyDescent="0.25">
      <c r="A30" s="4">
        <v>129</v>
      </c>
      <c r="B30" s="4">
        <v>1</v>
      </c>
      <c r="C30" s="5" t="s">
        <v>130</v>
      </c>
      <c r="D30" s="4">
        <v>1</v>
      </c>
      <c r="E30" s="4">
        <v>1</v>
      </c>
      <c r="F30" s="4">
        <v>1</v>
      </c>
      <c r="G30" s="4">
        <v>2</v>
      </c>
      <c r="H30" s="4">
        <v>1</v>
      </c>
      <c r="I30" s="5" t="s">
        <v>78</v>
      </c>
      <c r="J30" s="5"/>
      <c r="K30" s="4">
        <v>2</v>
      </c>
      <c r="L30" s="4">
        <v>5</v>
      </c>
      <c r="M30" s="4">
        <v>5</v>
      </c>
      <c r="N30" s="4">
        <v>5</v>
      </c>
      <c r="O30" s="4">
        <v>5</v>
      </c>
      <c r="P30" s="4">
        <v>4</v>
      </c>
      <c r="Q30" s="4">
        <v>4</v>
      </c>
      <c r="R30" s="4">
        <v>5</v>
      </c>
      <c r="S30" s="4">
        <v>5</v>
      </c>
      <c r="T30" s="4">
        <v>5</v>
      </c>
      <c r="U30" s="4">
        <v>4</v>
      </c>
      <c r="V30" s="4">
        <v>1</v>
      </c>
      <c r="W30" s="4">
        <v>2</v>
      </c>
      <c r="X30" s="5" t="s">
        <v>79</v>
      </c>
      <c r="Y30" s="5" t="s">
        <v>80</v>
      </c>
      <c r="Z30" s="4">
        <v>2</v>
      </c>
      <c r="AA30" s="5" t="s">
        <v>116</v>
      </c>
      <c r="AB30" s="5" t="s">
        <v>114</v>
      </c>
      <c r="AC30" s="5"/>
      <c r="AD30" s="5"/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2</v>
      </c>
    </row>
    <row r="31" spans="1:39" x14ac:dyDescent="0.2">
      <c r="A31" s="1">
        <v>130</v>
      </c>
      <c r="B31" s="1">
        <v>1</v>
      </c>
      <c r="C31" s="2" t="s">
        <v>77</v>
      </c>
      <c r="D31" s="1">
        <v>1</v>
      </c>
      <c r="E31" s="1">
        <v>1</v>
      </c>
      <c r="F31" s="1">
        <v>1</v>
      </c>
      <c r="G31" s="1">
        <v>2</v>
      </c>
      <c r="H31" s="1">
        <v>1</v>
      </c>
      <c r="I31" s="2" t="s">
        <v>78</v>
      </c>
      <c r="J31" s="2"/>
      <c r="K31" s="1">
        <v>1</v>
      </c>
      <c r="L31" s="1">
        <v>5</v>
      </c>
      <c r="M31" s="1">
        <v>5</v>
      </c>
      <c r="N31" s="1">
        <v>5</v>
      </c>
      <c r="O31" s="1">
        <v>5</v>
      </c>
      <c r="P31" s="1">
        <v>4</v>
      </c>
      <c r="Q31" s="1">
        <v>5</v>
      </c>
      <c r="R31" s="1">
        <v>4</v>
      </c>
      <c r="S31" s="1">
        <v>5</v>
      </c>
      <c r="T31" s="1">
        <v>5</v>
      </c>
      <c r="U31" s="1">
        <v>5</v>
      </c>
      <c r="V31" s="1">
        <v>2</v>
      </c>
      <c r="W31" s="1">
        <v>2</v>
      </c>
      <c r="X31" s="2" t="s">
        <v>94</v>
      </c>
      <c r="Y31" s="2" t="s">
        <v>80</v>
      </c>
      <c r="Z31" s="1">
        <v>3</v>
      </c>
      <c r="AA31" s="2" t="s">
        <v>114</v>
      </c>
      <c r="AB31" s="2" t="s">
        <v>102</v>
      </c>
      <c r="AC31" s="2" t="s">
        <v>146</v>
      </c>
      <c r="AD31" s="2"/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</row>
    <row r="32" spans="1:39" x14ac:dyDescent="0.2">
      <c r="A32" s="1">
        <v>131</v>
      </c>
      <c r="B32" s="1">
        <v>2</v>
      </c>
      <c r="C32" s="2" t="s">
        <v>122</v>
      </c>
      <c r="D32" s="1">
        <v>1</v>
      </c>
      <c r="E32" s="1">
        <v>1</v>
      </c>
      <c r="F32" s="1">
        <v>1</v>
      </c>
      <c r="G32" s="1">
        <v>2</v>
      </c>
      <c r="H32" s="1">
        <v>1</v>
      </c>
      <c r="I32" s="2" t="s">
        <v>78</v>
      </c>
      <c r="J32" s="2"/>
      <c r="K32" s="1">
        <v>2</v>
      </c>
      <c r="L32" s="1">
        <v>5</v>
      </c>
      <c r="M32" s="1">
        <v>5</v>
      </c>
      <c r="N32" s="1">
        <v>5</v>
      </c>
      <c r="O32" s="1">
        <v>5</v>
      </c>
      <c r="P32" s="1">
        <v>5</v>
      </c>
      <c r="Q32" s="1">
        <v>4</v>
      </c>
      <c r="R32" s="1">
        <v>5</v>
      </c>
      <c r="S32" s="1">
        <v>4</v>
      </c>
      <c r="T32" s="1">
        <v>5</v>
      </c>
      <c r="U32" s="1">
        <v>5</v>
      </c>
      <c r="V32" s="1">
        <v>2</v>
      </c>
      <c r="W32" s="1">
        <v>2</v>
      </c>
      <c r="X32" s="2" t="s">
        <v>79</v>
      </c>
      <c r="Y32" s="2" t="s">
        <v>80</v>
      </c>
      <c r="Z32" s="1">
        <v>4</v>
      </c>
      <c r="AA32" s="2" t="s">
        <v>116</v>
      </c>
      <c r="AB32" s="2" t="s">
        <v>147</v>
      </c>
      <c r="AC32" s="2" t="s">
        <v>148</v>
      </c>
      <c r="AD32" s="2" t="s">
        <v>149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</row>
    <row r="33" spans="1:39" x14ac:dyDescent="0.2">
      <c r="A33" s="1">
        <v>132</v>
      </c>
      <c r="B33" s="1">
        <v>2</v>
      </c>
      <c r="C33" s="2" t="s">
        <v>89</v>
      </c>
      <c r="D33" s="1">
        <v>1</v>
      </c>
      <c r="E33" s="1">
        <v>1</v>
      </c>
      <c r="F33" s="1">
        <v>1</v>
      </c>
      <c r="G33" s="1">
        <v>2</v>
      </c>
      <c r="H33" s="1">
        <v>1</v>
      </c>
      <c r="I33" s="2" t="s">
        <v>78</v>
      </c>
      <c r="J33" s="2"/>
      <c r="K33" s="1">
        <v>1</v>
      </c>
      <c r="L33" s="1">
        <v>5</v>
      </c>
      <c r="M33" s="1">
        <v>5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2</v>
      </c>
      <c r="W33" s="1">
        <v>2</v>
      </c>
      <c r="X33" s="2" t="s">
        <v>97</v>
      </c>
      <c r="Y33" s="2" t="s">
        <v>80</v>
      </c>
      <c r="Z33" s="1">
        <v>4</v>
      </c>
      <c r="AA33" s="2" t="s">
        <v>150</v>
      </c>
      <c r="AB33" s="2" t="s">
        <v>101</v>
      </c>
      <c r="AC33" s="2" t="s">
        <v>109</v>
      </c>
      <c r="AD33" s="2" t="s">
        <v>151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</row>
    <row r="34" spans="1:39" x14ac:dyDescent="0.2">
      <c r="A34" s="1">
        <v>133</v>
      </c>
      <c r="B34" s="1">
        <v>1</v>
      </c>
      <c r="C34" s="2" t="s">
        <v>89</v>
      </c>
      <c r="D34" s="1">
        <v>1</v>
      </c>
      <c r="E34" s="1">
        <v>1</v>
      </c>
      <c r="F34" s="1">
        <v>1</v>
      </c>
      <c r="G34" s="1">
        <v>2</v>
      </c>
      <c r="H34" s="1">
        <v>1</v>
      </c>
      <c r="I34" s="2" t="s">
        <v>78</v>
      </c>
      <c r="J34" s="2"/>
      <c r="K34" s="1">
        <v>2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2</v>
      </c>
      <c r="W34" s="1">
        <v>2</v>
      </c>
      <c r="X34" s="2" t="s">
        <v>97</v>
      </c>
      <c r="Y34" s="2" t="s">
        <v>97</v>
      </c>
      <c r="Z34" s="1">
        <v>3</v>
      </c>
      <c r="AA34" s="2" t="s">
        <v>152</v>
      </c>
      <c r="AB34" s="2" t="s">
        <v>153</v>
      </c>
      <c r="AC34" s="2" t="s">
        <v>154</v>
      </c>
      <c r="AD34" s="2"/>
      <c r="AE34" s="1">
        <v>1</v>
      </c>
      <c r="AF34" s="1">
        <v>1</v>
      </c>
      <c r="AG34" s="1">
        <v>2</v>
      </c>
      <c r="AH34" s="1">
        <v>2</v>
      </c>
      <c r="AI34" s="1">
        <v>2</v>
      </c>
      <c r="AJ34" s="1">
        <v>2</v>
      </c>
      <c r="AK34" s="1">
        <v>2</v>
      </c>
      <c r="AL34" s="1">
        <v>1</v>
      </c>
      <c r="AM34" s="1">
        <v>2</v>
      </c>
    </row>
    <row r="35" spans="1:39" x14ac:dyDescent="0.2">
      <c r="A35" s="1">
        <v>134</v>
      </c>
      <c r="B35" s="1">
        <v>2</v>
      </c>
      <c r="C35" s="2" t="s">
        <v>130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2" t="s">
        <v>78</v>
      </c>
      <c r="J35" s="2"/>
      <c r="K35" s="1">
        <v>2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2</v>
      </c>
      <c r="W35" s="1">
        <v>2</v>
      </c>
      <c r="X35" s="2" t="s">
        <v>97</v>
      </c>
      <c r="Y35" s="2" t="s">
        <v>80</v>
      </c>
      <c r="Z35" s="1">
        <v>2</v>
      </c>
      <c r="AA35" s="2" t="s">
        <v>155</v>
      </c>
      <c r="AB35" s="2" t="s">
        <v>156</v>
      </c>
      <c r="AC35" s="2"/>
      <c r="AD35" s="2"/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</row>
    <row r="36" spans="1:39" x14ac:dyDescent="0.2">
      <c r="A36" s="1">
        <v>135</v>
      </c>
      <c r="B36" s="1">
        <v>2</v>
      </c>
      <c r="C36" s="2" t="s">
        <v>84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2" t="s">
        <v>78</v>
      </c>
      <c r="J36" s="2"/>
      <c r="K36" s="1">
        <v>2</v>
      </c>
      <c r="L36" s="1">
        <v>5</v>
      </c>
      <c r="M36" s="1">
        <v>5</v>
      </c>
      <c r="N36" s="1">
        <v>4</v>
      </c>
      <c r="O36" s="1">
        <v>5</v>
      </c>
      <c r="P36" s="1">
        <v>5</v>
      </c>
      <c r="Q36" s="1">
        <v>5</v>
      </c>
      <c r="R36" s="1">
        <v>5</v>
      </c>
      <c r="S36" s="1">
        <v>4</v>
      </c>
      <c r="T36" s="1">
        <v>5</v>
      </c>
      <c r="U36" s="1">
        <v>5</v>
      </c>
      <c r="V36" s="1">
        <v>2</v>
      </c>
      <c r="W36" s="1">
        <v>1</v>
      </c>
      <c r="X36" s="2" t="s">
        <v>97</v>
      </c>
      <c r="Y36" s="2" t="s">
        <v>80</v>
      </c>
      <c r="Z36" s="1">
        <v>3</v>
      </c>
      <c r="AA36" s="2" t="s">
        <v>157</v>
      </c>
      <c r="AB36" s="2" t="s">
        <v>158</v>
      </c>
      <c r="AC36" s="2" t="s">
        <v>159</v>
      </c>
      <c r="AD36" s="2"/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</row>
    <row r="37" spans="1:39" x14ac:dyDescent="0.2">
      <c r="A37" s="1">
        <v>136</v>
      </c>
      <c r="B37" s="1">
        <v>2</v>
      </c>
      <c r="C37" s="2" t="s">
        <v>77</v>
      </c>
      <c r="D37" s="1">
        <v>1</v>
      </c>
      <c r="E37" s="1">
        <v>1</v>
      </c>
      <c r="F37" s="1">
        <v>1</v>
      </c>
      <c r="G37" s="1">
        <v>2</v>
      </c>
      <c r="H37" s="1">
        <v>1</v>
      </c>
      <c r="I37" s="2" t="s">
        <v>78</v>
      </c>
      <c r="J37" s="2"/>
      <c r="K37" s="1">
        <v>1</v>
      </c>
      <c r="L37" s="1">
        <v>5</v>
      </c>
      <c r="M37" s="1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2</v>
      </c>
      <c r="W37" s="1">
        <v>2</v>
      </c>
      <c r="X37" s="2" t="s">
        <v>80</v>
      </c>
      <c r="Y37" s="2" t="s">
        <v>80</v>
      </c>
      <c r="Z37" s="1">
        <v>2</v>
      </c>
      <c r="AA37" s="2" t="s">
        <v>160</v>
      </c>
      <c r="AB37" s="2" t="s">
        <v>161</v>
      </c>
      <c r="AC37" s="2"/>
      <c r="AD37" s="2"/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</row>
    <row r="38" spans="1:39" x14ac:dyDescent="0.2">
      <c r="A38" s="1">
        <v>137</v>
      </c>
      <c r="B38" s="1">
        <v>2</v>
      </c>
      <c r="C38" s="2" t="s">
        <v>118</v>
      </c>
      <c r="D38" s="1">
        <v>1</v>
      </c>
      <c r="E38" s="1">
        <v>1</v>
      </c>
      <c r="F38" s="1">
        <v>1</v>
      </c>
      <c r="G38" s="1">
        <v>2</v>
      </c>
      <c r="H38" s="1">
        <v>1</v>
      </c>
      <c r="I38" s="2" t="s">
        <v>78</v>
      </c>
      <c r="J38" s="2"/>
      <c r="K38" s="1">
        <v>2</v>
      </c>
      <c r="L38" s="1">
        <v>5</v>
      </c>
      <c r="M38" s="1">
        <v>5</v>
      </c>
      <c r="N38" s="1">
        <v>4</v>
      </c>
      <c r="O38" s="1">
        <v>5</v>
      </c>
      <c r="P38" s="1">
        <v>4</v>
      </c>
      <c r="Q38" s="1">
        <v>4</v>
      </c>
      <c r="R38" s="1">
        <v>4</v>
      </c>
      <c r="S38" s="1">
        <v>4</v>
      </c>
      <c r="T38" s="1">
        <v>5</v>
      </c>
      <c r="U38" s="1">
        <v>4</v>
      </c>
      <c r="V38" s="1">
        <v>2</v>
      </c>
      <c r="W38" s="1">
        <v>2</v>
      </c>
      <c r="X38" s="2" t="s">
        <v>80</v>
      </c>
      <c r="Y38" s="2" t="s">
        <v>80</v>
      </c>
      <c r="Z38" s="1">
        <v>4</v>
      </c>
      <c r="AA38" s="2" t="s">
        <v>132</v>
      </c>
      <c r="AB38" s="2" t="s">
        <v>114</v>
      </c>
      <c r="AC38" s="2" t="s">
        <v>102</v>
      </c>
      <c r="AD38" s="2" t="s">
        <v>162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</row>
    <row r="39" spans="1:39" s="7" customFormat="1" x14ac:dyDescent="0.2">
      <c r="A39" s="7">
        <v>138</v>
      </c>
      <c r="B39" s="7">
        <v>1</v>
      </c>
      <c r="C39" s="7" t="s">
        <v>84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 t="s">
        <v>78</v>
      </c>
      <c r="K39" s="7">
        <v>1</v>
      </c>
      <c r="L39" s="7">
        <v>5</v>
      </c>
      <c r="M39" s="7">
        <v>5</v>
      </c>
      <c r="N39" s="7">
        <v>3</v>
      </c>
      <c r="O39" s="7">
        <v>4</v>
      </c>
      <c r="P39" s="7">
        <v>2</v>
      </c>
      <c r="Q39" s="7">
        <v>4</v>
      </c>
      <c r="R39" s="7">
        <v>4</v>
      </c>
      <c r="S39" s="7">
        <v>4</v>
      </c>
      <c r="T39" s="7">
        <v>5</v>
      </c>
      <c r="U39" s="7">
        <v>4</v>
      </c>
      <c r="V39" s="7">
        <v>2</v>
      </c>
      <c r="W39" s="7">
        <v>2</v>
      </c>
      <c r="X39" s="7" t="s">
        <v>97</v>
      </c>
      <c r="Y39" s="7" t="s">
        <v>80</v>
      </c>
      <c r="Z39" s="7">
        <v>4</v>
      </c>
      <c r="AA39" s="7" t="s">
        <v>163</v>
      </c>
      <c r="AB39" s="7" t="s">
        <v>164</v>
      </c>
      <c r="AC39" s="7" t="s">
        <v>165</v>
      </c>
      <c r="AD39" s="7" t="s">
        <v>166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</row>
    <row r="40" spans="1:39" x14ac:dyDescent="0.2">
      <c r="A40" s="1">
        <v>139</v>
      </c>
      <c r="B40" s="1">
        <v>2</v>
      </c>
      <c r="C40" s="2" t="s">
        <v>130</v>
      </c>
      <c r="D40" s="1">
        <v>1</v>
      </c>
      <c r="E40" s="1">
        <v>1</v>
      </c>
      <c r="F40" s="1">
        <v>1</v>
      </c>
      <c r="G40" s="1">
        <v>2</v>
      </c>
      <c r="H40" s="1">
        <v>1</v>
      </c>
      <c r="I40" s="2" t="s">
        <v>78</v>
      </c>
      <c r="J40" s="2"/>
      <c r="K40" s="1">
        <v>2</v>
      </c>
      <c r="L40" s="1">
        <v>5</v>
      </c>
      <c r="M40" s="1">
        <v>5</v>
      </c>
      <c r="N40" s="1">
        <v>5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2</v>
      </c>
      <c r="W40" s="1">
        <v>2</v>
      </c>
      <c r="X40" s="2" t="s">
        <v>79</v>
      </c>
      <c r="Y40" s="2" t="s">
        <v>80</v>
      </c>
      <c r="Z40" s="1">
        <v>2</v>
      </c>
      <c r="AA40" s="2" t="s">
        <v>95</v>
      </c>
      <c r="AB40" s="2" t="s">
        <v>167</v>
      </c>
      <c r="AC40" s="2"/>
      <c r="AD40" s="2"/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</row>
    <row r="41" spans="1:39" x14ac:dyDescent="0.2">
      <c r="A41" s="1">
        <v>124</v>
      </c>
      <c r="B41" s="1">
        <v>2</v>
      </c>
      <c r="C41" s="2" t="s">
        <v>130</v>
      </c>
      <c r="D41" s="1">
        <v>1</v>
      </c>
      <c r="E41" s="1">
        <v>1</v>
      </c>
      <c r="F41" s="1">
        <v>1</v>
      </c>
      <c r="G41" s="1">
        <v>2</v>
      </c>
      <c r="H41" s="1">
        <v>1</v>
      </c>
      <c r="I41" s="2" t="s">
        <v>78</v>
      </c>
      <c r="J41" s="2"/>
      <c r="K41" s="1">
        <v>2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4</v>
      </c>
      <c r="S41" s="1">
        <v>4</v>
      </c>
      <c r="T41" s="1">
        <v>4</v>
      </c>
      <c r="U41" s="1">
        <v>4</v>
      </c>
      <c r="V41" s="1">
        <v>2</v>
      </c>
      <c r="W41" s="1">
        <v>2</v>
      </c>
      <c r="X41" s="2" t="s">
        <v>97</v>
      </c>
      <c r="Y41" s="2" t="s">
        <v>80</v>
      </c>
      <c r="Z41" s="1">
        <v>3</v>
      </c>
      <c r="AA41" s="2" t="s">
        <v>168</v>
      </c>
      <c r="AB41" s="2" t="s">
        <v>169</v>
      </c>
      <c r="AC41" s="2" t="s">
        <v>170</v>
      </c>
      <c r="AD41" s="2"/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</row>
    <row r="42" spans="1:39" x14ac:dyDescent="0.2">
      <c r="A42" s="1">
        <v>140</v>
      </c>
      <c r="B42" s="1">
        <v>1</v>
      </c>
      <c r="C42" s="2" t="s">
        <v>134</v>
      </c>
      <c r="D42" s="1">
        <v>1</v>
      </c>
      <c r="E42" s="1">
        <v>1</v>
      </c>
      <c r="F42" s="1">
        <v>1</v>
      </c>
      <c r="G42" s="1">
        <v>2</v>
      </c>
      <c r="H42" s="1">
        <v>1</v>
      </c>
      <c r="I42" s="2" t="s">
        <v>78</v>
      </c>
      <c r="J42" s="2"/>
      <c r="K42" s="1">
        <v>2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1">
        <v>5</v>
      </c>
      <c r="V42" s="1">
        <v>2</v>
      </c>
      <c r="W42" s="1">
        <v>2</v>
      </c>
      <c r="X42" s="2" t="s">
        <v>85</v>
      </c>
      <c r="Y42" s="2" t="s">
        <v>80</v>
      </c>
      <c r="Z42" s="1">
        <v>1</v>
      </c>
      <c r="AA42" s="2" t="s">
        <v>171</v>
      </c>
      <c r="AB42" s="2"/>
      <c r="AC42" s="2"/>
      <c r="AD42" s="2"/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</row>
    <row r="43" spans="1:39" x14ac:dyDescent="0.2">
      <c r="A43" s="1">
        <v>141</v>
      </c>
      <c r="B43" s="1">
        <v>2</v>
      </c>
      <c r="C43" s="2" t="s">
        <v>89</v>
      </c>
      <c r="D43" s="1">
        <v>1</v>
      </c>
      <c r="E43" s="1">
        <v>1</v>
      </c>
      <c r="F43" s="1">
        <v>1</v>
      </c>
      <c r="G43" s="1">
        <v>2</v>
      </c>
      <c r="H43" s="1">
        <v>1</v>
      </c>
      <c r="I43" s="2" t="s">
        <v>78</v>
      </c>
      <c r="J43" s="2"/>
      <c r="K43" s="1">
        <v>2</v>
      </c>
      <c r="L43" s="1">
        <v>4</v>
      </c>
      <c r="M43" s="1">
        <v>4</v>
      </c>
      <c r="N43" s="1">
        <v>4</v>
      </c>
      <c r="O43" s="1">
        <v>4</v>
      </c>
      <c r="P43" s="1">
        <v>3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2</v>
      </c>
      <c r="W43" s="1">
        <v>1</v>
      </c>
      <c r="X43" s="2" t="s">
        <v>85</v>
      </c>
      <c r="Y43" s="2" t="s">
        <v>80</v>
      </c>
      <c r="Z43" s="1">
        <v>2</v>
      </c>
      <c r="AA43" s="2" t="s">
        <v>172</v>
      </c>
      <c r="AB43" s="2" t="s">
        <v>173</v>
      </c>
      <c r="AC43" s="2"/>
      <c r="AD43" s="2"/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</row>
    <row r="44" spans="1:39" x14ac:dyDescent="0.2">
      <c r="A44" s="1">
        <v>142</v>
      </c>
      <c r="B44" s="1">
        <v>1</v>
      </c>
      <c r="C44" s="2" t="s">
        <v>124</v>
      </c>
      <c r="D44" s="1">
        <v>1</v>
      </c>
      <c r="E44" s="1">
        <v>1</v>
      </c>
      <c r="F44" s="1">
        <v>1</v>
      </c>
      <c r="G44" s="1">
        <v>2</v>
      </c>
      <c r="H44" s="1">
        <v>1</v>
      </c>
      <c r="I44" s="2" t="s">
        <v>78</v>
      </c>
      <c r="J44" s="2"/>
      <c r="K44" s="1">
        <v>2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5</v>
      </c>
      <c r="S44" s="1">
        <v>5</v>
      </c>
      <c r="T44" s="1">
        <v>5</v>
      </c>
      <c r="U44" s="1">
        <v>5</v>
      </c>
      <c r="V44" s="1">
        <v>2</v>
      </c>
      <c r="W44" s="1">
        <v>2</v>
      </c>
      <c r="X44" s="2" t="s">
        <v>79</v>
      </c>
      <c r="Y44" s="2" t="s">
        <v>80</v>
      </c>
      <c r="Z44" s="1">
        <v>3</v>
      </c>
      <c r="AA44" s="2" t="s">
        <v>174</v>
      </c>
      <c r="AB44" s="2" t="s">
        <v>175</v>
      </c>
      <c r="AC44" s="2" t="s">
        <v>176</v>
      </c>
      <c r="AD44" s="2"/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</row>
    <row r="45" spans="1:39" x14ac:dyDescent="0.2">
      <c r="A45" s="1">
        <v>143</v>
      </c>
      <c r="B45" s="1">
        <v>2</v>
      </c>
      <c r="C45" s="2" t="s">
        <v>84</v>
      </c>
      <c r="D45" s="1">
        <v>1</v>
      </c>
      <c r="E45" s="1">
        <v>1</v>
      </c>
      <c r="F45" s="1">
        <v>1</v>
      </c>
      <c r="G45" s="1">
        <v>2</v>
      </c>
      <c r="H45" s="1">
        <v>1</v>
      </c>
      <c r="I45" s="2" t="s">
        <v>78</v>
      </c>
      <c r="J45" s="2"/>
      <c r="K45" s="1">
        <v>2</v>
      </c>
      <c r="L45" s="1">
        <v>5</v>
      </c>
      <c r="M45" s="1">
        <v>5</v>
      </c>
      <c r="N45" s="1">
        <v>5</v>
      </c>
      <c r="O45" s="1">
        <v>5</v>
      </c>
      <c r="P45" s="1">
        <v>5</v>
      </c>
      <c r="Q45" s="1">
        <v>5</v>
      </c>
      <c r="R45" s="1">
        <v>5</v>
      </c>
      <c r="S45" s="1">
        <v>5</v>
      </c>
      <c r="T45" s="1">
        <v>5</v>
      </c>
      <c r="U45" s="1">
        <v>5</v>
      </c>
      <c r="V45" s="1">
        <v>1</v>
      </c>
      <c r="W45" s="1">
        <v>2</v>
      </c>
      <c r="X45" s="2" t="s">
        <v>79</v>
      </c>
      <c r="Y45" s="2" t="s">
        <v>80</v>
      </c>
      <c r="Z45" s="1">
        <v>3</v>
      </c>
      <c r="AA45" s="2" t="s">
        <v>116</v>
      </c>
      <c r="AB45" s="2" t="s">
        <v>114</v>
      </c>
      <c r="AC45" s="2" t="s">
        <v>177</v>
      </c>
      <c r="AD45" s="2"/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</row>
    <row r="46" spans="1:39" s="6" customFormat="1" ht="15" x14ac:dyDescent="0.25">
      <c r="A46" s="4">
        <v>144</v>
      </c>
      <c r="B46" s="4">
        <v>1</v>
      </c>
      <c r="C46" s="5" t="s">
        <v>84</v>
      </c>
      <c r="D46" s="4">
        <v>1</v>
      </c>
      <c r="E46" s="4">
        <v>1</v>
      </c>
      <c r="F46" s="4">
        <v>1</v>
      </c>
      <c r="G46" s="4">
        <v>2</v>
      </c>
      <c r="H46" s="4">
        <v>1</v>
      </c>
      <c r="I46" s="5" t="s">
        <v>78</v>
      </c>
      <c r="J46" s="5"/>
      <c r="K46" s="4">
        <v>2</v>
      </c>
      <c r="L46" s="4">
        <v>5</v>
      </c>
      <c r="M46" s="4">
        <v>5</v>
      </c>
      <c r="N46" s="4">
        <v>5</v>
      </c>
      <c r="O46" s="4">
        <v>5</v>
      </c>
      <c r="P46" s="4">
        <v>3</v>
      </c>
      <c r="Q46" s="4">
        <v>4</v>
      </c>
      <c r="R46" s="4">
        <v>4</v>
      </c>
      <c r="S46" s="4">
        <v>3</v>
      </c>
      <c r="T46" s="4">
        <v>4</v>
      </c>
      <c r="U46" s="4">
        <v>4</v>
      </c>
      <c r="V46" s="4">
        <v>2</v>
      </c>
      <c r="W46" s="4">
        <v>2</v>
      </c>
      <c r="X46" s="5" t="s">
        <v>97</v>
      </c>
      <c r="Y46" s="5" t="s">
        <v>80</v>
      </c>
      <c r="Z46" s="4">
        <v>3</v>
      </c>
      <c r="AA46" s="5" t="s">
        <v>178</v>
      </c>
      <c r="AB46" s="5" t="s">
        <v>179</v>
      </c>
      <c r="AC46" s="5" t="s">
        <v>180</v>
      </c>
      <c r="AD46" s="5"/>
      <c r="AE46" s="4">
        <v>1</v>
      </c>
      <c r="AF46" s="4">
        <v>1</v>
      </c>
      <c r="AG46" s="4">
        <v>2</v>
      </c>
      <c r="AH46" s="4">
        <v>2</v>
      </c>
      <c r="AI46" s="4">
        <v>2</v>
      </c>
      <c r="AJ46" s="4">
        <v>2</v>
      </c>
      <c r="AK46" s="4">
        <v>2</v>
      </c>
      <c r="AL46" s="4">
        <v>1</v>
      </c>
      <c r="AM46" s="4">
        <v>1</v>
      </c>
    </row>
    <row r="47" spans="1:39" x14ac:dyDescent="0.2">
      <c r="A47" s="1">
        <v>145</v>
      </c>
      <c r="B47" s="1">
        <v>2</v>
      </c>
      <c r="C47" s="2" t="s">
        <v>84</v>
      </c>
      <c r="D47" s="1">
        <v>1</v>
      </c>
      <c r="E47" s="1">
        <v>1</v>
      </c>
      <c r="F47" s="1">
        <v>1</v>
      </c>
      <c r="G47" s="1">
        <v>2</v>
      </c>
      <c r="H47" s="1">
        <v>1</v>
      </c>
      <c r="I47" s="2" t="s">
        <v>78</v>
      </c>
      <c r="J47" s="2"/>
      <c r="K47" s="1">
        <v>1</v>
      </c>
      <c r="L47" s="1">
        <v>5</v>
      </c>
      <c r="M47" s="1">
        <v>5</v>
      </c>
      <c r="N47" s="1">
        <v>4</v>
      </c>
      <c r="O47" s="1">
        <v>5</v>
      </c>
      <c r="P47" s="1">
        <v>3</v>
      </c>
      <c r="Q47" s="1">
        <v>3</v>
      </c>
      <c r="R47" s="1">
        <v>4</v>
      </c>
      <c r="S47" s="1">
        <v>3</v>
      </c>
      <c r="T47" s="1">
        <v>5</v>
      </c>
      <c r="U47" s="1">
        <v>3</v>
      </c>
      <c r="V47" s="1">
        <v>2</v>
      </c>
      <c r="W47" s="1">
        <v>2</v>
      </c>
      <c r="X47" s="2" t="s">
        <v>97</v>
      </c>
      <c r="Y47" s="2" t="s">
        <v>80</v>
      </c>
      <c r="Z47" s="1">
        <v>3</v>
      </c>
      <c r="AA47" s="2" t="s">
        <v>181</v>
      </c>
      <c r="AB47" s="2" t="s">
        <v>95</v>
      </c>
      <c r="AC47" s="2" t="s">
        <v>182</v>
      </c>
      <c r="AD47" s="2"/>
      <c r="AE47" s="1">
        <v>1</v>
      </c>
      <c r="AF47" s="1">
        <v>1</v>
      </c>
      <c r="AG47" s="1">
        <v>2</v>
      </c>
      <c r="AH47" s="1">
        <v>2</v>
      </c>
      <c r="AI47" s="1">
        <v>2</v>
      </c>
      <c r="AJ47" s="1">
        <v>2</v>
      </c>
      <c r="AK47" s="1">
        <v>2</v>
      </c>
      <c r="AL47" s="1">
        <v>1</v>
      </c>
      <c r="AM47" s="1">
        <v>2</v>
      </c>
    </row>
    <row r="48" spans="1:39" x14ac:dyDescent="0.2">
      <c r="A48" s="1">
        <v>146</v>
      </c>
      <c r="B48" s="1">
        <v>1</v>
      </c>
      <c r="C48" s="2" t="s">
        <v>122</v>
      </c>
      <c r="D48" s="1">
        <v>1</v>
      </c>
      <c r="E48" s="1">
        <v>1</v>
      </c>
      <c r="F48" s="1">
        <v>1</v>
      </c>
      <c r="G48" s="1">
        <v>2</v>
      </c>
      <c r="H48" s="1">
        <v>1</v>
      </c>
      <c r="I48" s="2" t="s">
        <v>78</v>
      </c>
      <c r="J48" s="2"/>
      <c r="K48" s="1">
        <v>2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1</v>
      </c>
      <c r="W48" s="1">
        <v>2</v>
      </c>
      <c r="X48" s="2" t="s">
        <v>97</v>
      </c>
      <c r="Y48" s="2" t="s">
        <v>80</v>
      </c>
      <c r="Z48" s="1">
        <v>1</v>
      </c>
      <c r="AA48" s="2" t="s">
        <v>88</v>
      </c>
      <c r="AB48" s="2"/>
      <c r="AC48" s="2"/>
      <c r="AD48" s="2"/>
      <c r="AE48" s="1">
        <v>1</v>
      </c>
      <c r="AF48" s="1">
        <v>1</v>
      </c>
      <c r="AG48" s="1">
        <v>2</v>
      </c>
      <c r="AH48" s="1">
        <v>2</v>
      </c>
      <c r="AI48" s="1">
        <v>2</v>
      </c>
      <c r="AJ48" s="1">
        <v>2</v>
      </c>
      <c r="AK48" s="1">
        <v>2</v>
      </c>
      <c r="AL48" s="1">
        <v>1</v>
      </c>
      <c r="AM48" s="1">
        <v>2</v>
      </c>
    </row>
    <row r="49" spans="1:39" x14ac:dyDescent="0.2">
      <c r="A49" s="1">
        <v>147</v>
      </c>
      <c r="B49" s="1">
        <v>2</v>
      </c>
      <c r="C49" s="2" t="s">
        <v>183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2" t="s">
        <v>78</v>
      </c>
      <c r="J49" s="2"/>
      <c r="K49" s="1">
        <v>2</v>
      </c>
      <c r="L49" s="1">
        <v>5</v>
      </c>
      <c r="M49" s="1">
        <v>5</v>
      </c>
      <c r="N49" s="1">
        <v>5</v>
      </c>
      <c r="O49" s="1">
        <v>5</v>
      </c>
      <c r="P49" s="1">
        <v>4</v>
      </c>
      <c r="Q49" s="1">
        <v>4</v>
      </c>
      <c r="R49" s="1">
        <v>5</v>
      </c>
      <c r="S49" s="1">
        <v>5</v>
      </c>
      <c r="T49" s="1">
        <v>5</v>
      </c>
      <c r="U49" s="1">
        <v>5</v>
      </c>
      <c r="V49" s="1">
        <v>1</v>
      </c>
      <c r="W49" s="1">
        <v>2</v>
      </c>
      <c r="X49" s="2" t="s">
        <v>79</v>
      </c>
      <c r="Y49" s="2" t="s">
        <v>80</v>
      </c>
      <c r="Z49" s="1">
        <v>2</v>
      </c>
      <c r="AA49" s="2" t="s">
        <v>114</v>
      </c>
      <c r="AB49" s="2" t="s">
        <v>184</v>
      </c>
      <c r="AC49" s="2"/>
      <c r="AD49" s="2"/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</row>
    <row r="50" spans="1:39" x14ac:dyDescent="0.2">
      <c r="A50" s="1">
        <v>148</v>
      </c>
      <c r="B50" s="1">
        <v>2</v>
      </c>
      <c r="C50" s="2" t="s">
        <v>77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2" t="s">
        <v>78</v>
      </c>
      <c r="J50" s="2"/>
      <c r="K50" s="1">
        <v>2</v>
      </c>
      <c r="L50" s="1">
        <v>5</v>
      </c>
      <c r="M50" s="1">
        <v>5</v>
      </c>
      <c r="N50" s="1">
        <v>5</v>
      </c>
      <c r="O50" s="1">
        <v>5</v>
      </c>
      <c r="P50" s="1">
        <v>5</v>
      </c>
      <c r="Q50" s="1">
        <v>5</v>
      </c>
      <c r="R50" s="1">
        <v>5</v>
      </c>
      <c r="S50" s="1">
        <v>4</v>
      </c>
      <c r="T50" s="1">
        <v>5</v>
      </c>
      <c r="U50" s="1">
        <v>5</v>
      </c>
      <c r="V50" s="1">
        <v>2</v>
      </c>
      <c r="W50" s="1">
        <v>2</v>
      </c>
      <c r="X50" s="2" t="s">
        <v>97</v>
      </c>
      <c r="Y50" s="2" t="s">
        <v>80</v>
      </c>
      <c r="Z50" s="1">
        <v>2</v>
      </c>
      <c r="AA50" s="2" t="s">
        <v>116</v>
      </c>
      <c r="AB50" s="2" t="s">
        <v>95</v>
      </c>
      <c r="AC50" s="2"/>
      <c r="AD50" s="2"/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</row>
    <row r="51" spans="1:39" x14ac:dyDescent="0.2">
      <c r="A51" s="1">
        <v>149</v>
      </c>
      <c r="B51" s="1">
        <v>2</v>
      </c>
      <c r="C51" s="2" t="s">
        <v>93</v>
      </c>
      <c r="D51" s="1">
        <v>1</v>
      </c>
      <c r="E51" s="1">
        <v>1</v>
      </c>
      <c r="F51" s="1">
        <v>1</v>
      </c>
      <c r="G51" s="1">
        <v>2</v>
      </c>
      <c r="H51" s="1">
        <v>1</v>
      </c>
      <c r="I51" s="2" t="s">
        <v>78</v>
      </c>
      <c r="J51" s="2"/>
      <c r="K51" s="1">
        <v>1</v>
      </c>
      <c r="L51" s="1">
        <v>5</v>
      </c>
      <c r="M51" s="1">
        <v>5</v>
      </c>
      <c r="N51" s="1">
        <v>4</v>
      </c>
      <c r="O51" s="1">
        <v>3</v>
      </c>
      <c r="P51" s="1">
        <v>4</v>
      </c>
      <c r="Q51" s="1">
        <v>4</v>
      </c>
      <c r="R51" s="1">
        <v>4</v>
      </c>
      <c r="S51" s="1">
        <v>4</v>
      </c>
      <c r="T51" s="1">
        <v>3</v>
      </c>
      <c r="U51" s="1">
        <v>3</v>
      </c>
      <c r="V51" s="1">
        <v>2</v>
      </c>
      <c r="W51" s="1">
        <v>2</v>
      </c>
      <c r="X51" s="2" t="s">
        <v>97</v>
      </c>
      <c r="Y51" s="2" t="s">
        <v>80</v>
      </c>
      <c r="Z51" s="1">
        <v>3</v>
      </c>
      <c r="AA51" s="2" t="s">
        <v>185</v>
      </c>
      <c r="AB51" s="2" t="s">
        <v>186</v>
      </c>
      <c r="AC51" s="2" t="s">
        <v>160</v>
      </c>
      <c r="AD51" s="2"/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</row>
    <row r="52" spans="1:39" s="6" customFormat="1" ht="15" x14ac:dyDescent="0.25">
      <c r="A52" s="4">
        <v>150</v>
      </c>
      <c r="B52" s="4">
        <v>2</v>
      </c>
      <c r="C52" s="5" t="s">
        <v>77</v>
      </c>
      <c r="D52" s="4">
        <v>1</v>
      </c>
      <c r="E52" s="4">
        <v>1</v>
      </c>
      <c r="F52" s="4">
        <v>1</v>
      </c>
      <c r="G52" s="4">
        <v>2</v>
      </c>
      <c r="H52" s="4">
        <v>1</v>
      </c>
      <c r="I52" s="5" t="s">
        <v>187</v>
      </c>
      <c r="J52" s="5"/>
      <c r="K52" s="4">
        <v>1</v>
      </c>
      <c r="L52" s="4">
        <v>4</v>
      </c>
      <c r="M52" s="4">
        <v>4</v>
      </c>
      <c r="N52" s="4">
        <v>4</v>
      </c>
      <c r="O52" s="4">
        <v>4</v>
      </c>
      <c r="P52" s="4">
        <v>4</v>
      </c>
      <c r="Q52" s="4">
        <v>4</v>
      </c>
      <c r="R52" s="4">
        <v>3</v>
      </c>
      <c r="S52" s="4">
        <v>4</v>
      </c>
      <c r="T52" s="4">
        <v>4</v>
      </c>
      <c r="U52" s="4">
        <v>4</v>
      </c>
      <c r="V52" s="4">
        <v>2</v>
      </c>
      <c r="W52" s="4">
        <v>2</v>
      </c>
      <c r="X52" s="5" t="s">
        <v>97</v>
      </c>
      <c r="Y52" s="5" t="s">
        <v>80</v>
      </c>
      <c r="Z52" s="4">
        <v>3</v>
      </c>
      <c r="AA52" s="5" t="s">
        <v>188</v>
      </c>
      <c r="AB52" s="5" t="s">
        <v>189</v>
      </c>
      <c r="AC52" s="5" t="s">
        <v>190</v>
      </c>
      <c r="AD52" s="5"/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</row>
    <row r="53" spans="1:39" x14ac:dyDescent="0.2">
      <c r="A53" s="1">
        <v>151</v>
      </c>
      <c r="B53" s="1">
        <v>2</v>
      </c>
      <c r="C53" s="2" t="s">
        <v>122</v>
      </c>
      <c r="D53" s="1">
        <v>1</v>
      </c>
      <c r="E53" s="1">
        <v>1</v>
      </c>
      <c r="F53" s="1">
        <v>1</v>
      </c>
      <c r="G53" s="1">
        <v>2</v>
      </c>
      <c r="H53" s="1">
        <v>1</v>
      </c>
      <c r="I53" s="2" t="s">
        <v>78</v>
      </c>
      <c r="J53" s="2"/>
      <c r="K53" s="1">
        <v>2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4</v>
      </c>
      <c r="R53" s="1">
        <v>4</v>
      </c>
      <c r="S53" s="1">
        <v>2</v>
      </c>
      <c r="T53" s="1">
        <v>5</v>
      </c>
      <c r="U53" s="1">
        <v>4</v>
      </c>
      <c r="V53" s="1">
        <v>2</v>
      </c>
      <c r="W53" s="1">
        <v>2</v>
      </c>
      <c r="X53" s="2" t="s">
        <v>97</v>
      </c>
      <c r="Y53" s="2" t="s">
        <v>80</v>
      </c>
      <c r="Z53" s="1">
        <v>4</v>
      </c>
      <c r="AA53" s="2" t="s">
        <v>191</v>
      </c>
      <c r="AB53" s="2" t="s">
        <v>114</v>
      </c>
      <c r="AC53" s="2" t="s">
        <v>102</v>
      </c>
      <c r="AD53" s="2" t="s">
        <v>148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</row>
    <row r="54" spans="1:39" x14ac:dyDescent="0.2">
      <c r="A54" s="1">
        <v>152</v>
      </c>
      <c r="B54" s="1">
        <v>1</v>
      </c>
      <c r="C54" s="2" t="s">
        <v>118</v>
      </c>
      <c r="D54" s="1">
        <v>1</v>
      </c>
      <c r="E54" s="1">
        <v>1</v>
      </c>
      <c r="F54" s="1">
        <v>1</v>
      </c>
      <c r="G54" s="1">
        <v>2</v>
      </c>
      <c r="H54" s="1">
        <v>1</v>
      </c>
      <c r="I54" s="2" t="s">
        <v>78</v>
      </c>
      <c r="J54" s="2"/>
      <c r="K54" s="1">
        <v>2</v>
      </c>
      <c r="L54" s="1">
        <v>5</v>
      </c>
      <c r="M54" s="1">
        <v>5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2</v>
      </c>
      <c r="W54" s="1">
        <v>2</v>
      </c>
      <c r="X54" s="2" t="s">
        <v>79</v>
      </c>
      <c r="Y54" s="2" t="s">
        <v>80</v>
      </c>
      <c r="Z54" s="1">
        <v>3</v>
      </c>
      <c r="AA54" s="2" t="s">
        <v>86</v>
      </c>
      <c r="AB54" s="2" t="s">
        <v>147</v>
      </c>
      <c r="AC54" s="2" t="s">
        <v>192</v>
      </c>
      <c r="AD54" s="2"/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</row>
    <row r="55" spans="1:39" x14ac:dyDescent="0.2">
      <c r="A55" s="1">
        <v>153</v>
      </c>
      <c r="B55" s="1">
        <v>2</v>
      </c>
      <c r="C55" s="2" t="s">
        <v>134</v>
      </c>
      <c r="D55" s="1">
        <v>1</v>
      </c>
      <c r="E55" s="1">
        <v>1</v>
      </c>
      <c r="F55" s="1">
        <v>1</v>
      </c>
      <c r="G55" s="1">
        <v>2</v>
      </c>
      <c r="H55" s="1">
        <v>1</v>
      </c>
      <c r="I55" s="2" t="s">
        <v>78</v>
      </c>
      <c r="J55" s="2"/>
      <c r="K55" s="1">
        <v>2</v>
      </c>
      <c r="L55" s="1">
        <v>5</v>
      </c>
      <c r="M55" s="1">
        <v>5</v>
      </c>
      <c r="N55" s="1">
        <v>4</v>
      </c>
      <c r="O55" s="1">
        <v>4</v>
      </c>
      <c r="P55" s="1">
        <v>3</v>
      </c>
      <c r="Q55" s="1">
        <v>4</v>
      </c>
      <c r="R55" s="1">
        <v>5</v>
      </c>
      <c r="S55" s="1">
        <v>4</v>
      </c>
      <c r="T55" s="1">
        <v>5</v>
      </c>
      <c r="U55" s="1">
        <v>4</v>
      </c>
      <c r="V55" s="1">
        <v>2</v>
      </c>
      <c r="W55" s="1">
        <v>2</v>
      </c>
      <c r="X55" s="2" t="s">
        <v>97</v>
      </c>
      <c r="Y55" s="2" t="s">
        <v>80</v>
      </c>
      <c r="Z55" s="1">
        <v>2</v>
      </c>
      <c r="AA55" s="2" t="s">
        <v>116</v>
      </c>
      <c r="AB55" s="2" t="s">
        <v>88</v>
      </c>
      <c r="AC55" s="2"/>
      <c r="AD55" s="2"/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</row>
    <row r="56" spans="1:39" x14ac:dyDescent="0.2">
      <c r="A56" s="1">
        <v>154</v>
      </c>
      <c r="B56" s="1">
        <v>1</v>
      </c>
      <c r="C56" s="2" t="s">
        <v>84</v>
      </c>
      <c r="D56" s="1">
        <v>1</v>
      </c>
      <c r="E56" s="1">
        <v>1</v>
      </c>
      <c r="F56" s="1">
        <v>1</v>
      </c>
      <c r="G56" s="1">
        <v>2</v>
      </c>
      <c r="H56" s="1">
        <v>1</v>
      </c>
      <c r="I56" s="2" t="s">
        <v>78</v>
      </c>
      <c r="J56" s="2"/>
      <c r="K56" s="1">
        <v>2</v>
      </c>
      <c r="L56" s="1">
        <v>5</v>
      </c>
      <c r="M56" s="1">
        <v>5</v>
      </c>
      <c r="N56" s="1">
        <v>5</v>
      </c>
      <c r="O56" s="1">
        <v>4</v>
      </c>
      <c r="P56" s="1">
        <v>5</v>
      </c>
      <c r="Q56" s="1">
        <v>5</v>
      </c>
      <c r="R56" s="1">
        <v>1</v>
      </c>
      <c r="S56" s="1">
        <v>5</v>
      </c>
      <c r="T56" s="1">
        <v>3</v>
      </c>
      <c r="U56" s="1">
        <v>2</v>
      </c>
      <c r="V56" s="1">
        <v>2</v>
      </c>
      <c r="W56" s="1">
        <v>2</v>
      </c>
      <c r="X56" s="2" t="s">
        <v>97</v>
      </c>
      <c r="Y56" s="2" t="s">
        <v>80</v>
      </c>
      <c r="Z56" s="1">
        <v>2</v>
      </c>
      <c r="AA56" s="2" t="s">
        <v>88</v>
      </c>
      <c r="AB56" s="2" t="s">
        <v>102</v>
      </c>
      <c r="AC56" s="2"/>
      <c r="AD56" s="2"/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</row>
    <row r="57" spans="1:39" x14ac:dyDescent="0.2">
      <c r="A57" s="1">
        <v>155</v>
      </c>
      <c r="B57" s="1">
        <v>2</v>
      </c>
      <c r="C57" s="2" t="s">
        <v>122</v>
      </c>
      <c r="D57" s="1">
        <v>1</v>
      </c>
      <c r="E57" s="1">
        <v>1</v>
      </c>
      <c r="F57" s="1">
        <v>1</v>
      </c>
      <c r="G57" s="1">
        <v>2</v>
      </c>
      <c r="H57" s="1">
        <v>1</v>
      </c>
      <c r="I57" s="2" t="s">
        <v>78</v>
      </c>
      <c r="J57" s="2"/>
      <c r="K57" s="1">
        <v>2</v>
      </c>
      <c r="L57" s="1">
        <v>5</v>
      </c>
      <c r="M57" s="1">
        <v>5</v>
      </c>
      <c r="N57" s="1">
        <v>5</v>
      </c>
      <c r="O57" s="1">
        <v>5</v>
      </c>
      <c r="P57" s="1">
        <v>5</v>
      </c>
      <c r="Q57" s="1">
        <v>5</v>
      </c>
      <c r="R57" s="1">
        <v>5</v>
      </c>
      <c r="S57" s="1">
        <v>5</v>
      </c>
      <c r="T57" s="1">
        <v>5</v>
      </c>
      <c r="U57" s="1">
        <v>2</v>
      </c>
      <c r="V57" s="1">
        <v>1</v>
      </c>
      <c r="W57" s="1">
        <v>2</v>
      </c>
      <c r="X57" s="2" t="s">
        <v>97</v>
      </c>
      <c r="Y57" s="2" t="s">
        <v>80</v>
      </c>
      <c r="Z57" s="1">
        <v>2</v>
      </c>
      <c r="AA57" s="2" t="s">
        <v>113</v>
      </c>
      <c r="AB57" s="2" t="s">
        <v>193</v>
      </c>
      <c r="AC57" s="2"/>
      <c r="AD57" s="2"/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</row>
    <row r="58" spans="1:39" x14ac:dyDescent="0.2">
      <c r="A58" s="1">
        <v>156</v>
      </c>
      <c r="B58" s="1">
        <v>2</v>
      </c>
      <c r="C58" s="2" t="s">
        <v>122</v>
      </c>
      <c r="D58" s="1">
        <v>1</v>
      </c>
      <c r="E58" s="1">
        <v>1</v>
      </c>
      <c r="F58" s="1">
        <v>1</v>
      </c>
      <c r="G58" s="1">
        <v>2</v>
      </c>
      <c r="H58" s="1">
        <v>1</v>
      </c>
      <c r="I58" s="2" t="s">
        <v>78</v>
      </c>
      <c r="J58" s="2"/>
      <c r="K58" s="1">
        <v>2</v>
      </c>
      <c r="L58" s="1">
        <v>5</v>
      </c>
      <c r="M58" s="1">
        <v>5</v>
      </c>
      <c r="N58" s="1">
        <v>4</v>
      </c>
      <c r="O58" s="1">
        <v>5</v>
      </c>
      <c r="P58" s="1">
        <v>4</v>
      </c>
      <c r="Q58" s="1">
        <v>5</v>
      </c>
      <c r="R58" s="1">
        <v>5</v>
      </c>
      <c r="S58" s="1">
        <v>5</v>
      </c>
      <c r="T58" s="1">
        <v>5</v>
      </c>
      <c r="U58" s="1">
        <v>4</v>
      </c>
      <c r="V58" s="1">
        <v>2</v>
      </c>
      <c r="W58" s="1">
        <v>2</v>
      </c>
      <c r="X58" s="2" t="s">
        <v>85</v>
      </c>
      <c r="Y58" s="2" t="s">
        <v>80</v>
      </c>
      <c r="Z58" s="1">
        <v>3</v>
      </c>
      <c r="AA58" s="2" t="s">
        <v>194</v>
      </c>
      <c r="AB58" s="2" t="s">
        <v>114</v>
      </c>
      <c r="AC58" s="2" t="s">
        <v>195</v>
      </c>
      <c r="AD58" s="2"/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D166-0E61-49C3-999F-079322BF4A9A}">
  <dimension ref="A1:AM61"/>
  <sheetViews>
    <sheetView topLeftCell="A19" workbookViewId="0">
      <selection activeCell="J43" sqref="J43"/>
    </sheetView>
  </sheetViews>
  <sheetFormatPr baseColWidth="10" defaultRowHeight="12.75" x14ac:dyDescent="0.2"/>
  <cols>
    <col min="1" max="2" width="8" style="3" customWidth="1"/>
    <col min="3" max="3" width="17.5703125" style="8" bestFit="1" customWidth="1"/>
    <col min="4" max="8" width="8" style="3" customWidth="1"/>
    <col min="9" max="10" width="32" style="3" customWidth="1"/>
    <col min="11" max="23" width="8" style="3" customWidth="1"/>
    <col min="24" max="25" width="32" style="3" customWidth="1"/>
    <col min="26" max="26" width="8" style="3" customWidth="1"/>
    <col min="27" max="30" width="32" style="3" customWidth="1"/>
    <col min="31" max="39" width="8" style="3" customWidth="1"/>
    <col min="40" max="16384" width="11.42578125" style="3"/>
  </cols>
  <sheetData>
    <row r="1" spans="1:39" x14ac:dyDescent="0.2">
      <c r="A1" s="3" t="s">
        <v>10</v>
      </c>
      <c r="B1" s="3" t="s">
        <v>0</v>
      </c>
      <c r="C1" s="8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2">
      <c r="A2" s="1" t="s">
        <v>49</v>
      </c>
      <c r="B2" s="1" t="s">
        <v>39</v>
      </c>
      <c r="C2" s="8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2" t="s">
        <v>46</v>
      </c>
      <c r="J2" s="2" t="s">
        <v>47</v>
      </c>
      <c r="K2" s="1" t="s">
        <v>48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2" t="s">
        <v>62</v>
      </c>
      <c r="Y2" s="2" t="s">
        <v>63</v>
      </c>
      <c r="Z2" s="1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1" t="s">
        <v>69</v>
      </c>
      <c r="AF2" s="1" t="s">
        <v>41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</row>
    <row r="3" spans="1:39" x14ac:dyDescent="0.2">
      <c r="A3" s="1">
        <v>101</v>
      </c>
      <c r="B3" s="1">
        <v>2</v>
      </c>
      <c r="C3" s="8">
        <v>22</v>
      </c>
      <c r="D3" s="1">
        <v>1</v>
      </c>
      <c r="E3" s="1">
        <v>1</v>
      </c>
      <c r="F3" s="1">
        <v>1</v>
      </c>
      <c r="G3" s="1">
        <v>2</v>
      </c>
      <c r="H3" s="1">
        <v>1</v>
      </c>
      <c r="I3" s="2" t="s">
        <v>78</v>
      </c>
      <c r="J3" s="2"/>
      <c r="K3" s="1">
        <v>2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2</v>
      </c>
      <c r="W3" s="1">
        <v>2</v>
      </c>
      <c r="X3" s="2" t="s">
        <v>79</v>
      </c>
      <c r="Y3" s="2" t="s">
        <v>80</v>
      </c>
      <c r="Z3" s="1">
        <v>3</v>
      </c>
      <c r="AA3" s="2" t="s">
        <v>81</v>
      </c>
      <c r="AB3" s="2" t="s">
        <v>82</v>
      </c>
      <c r="AC3" s="2" t="s">
        <v>83</v>
      </c>
      <c r="AD3" s="2"/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</row>
    <row r="4" spans="1:39" x14ac:dyDescent="0.2">
      <c r="A4" s="1">
        <v>102</v>
      </c>
      <c r="B4" s="1">
        <v>1</v>
      </c>
      <c r="C4" s="8">
        <v>23</v>
      </c>
      <c r="D4" s="1">
        <v>1</v>
      </c>
      <c r="E4" s="1">
        <v>1</v>
      </c>
      <c r="F4" s="1">
        <v>1</v>
      </c>
      <c r="G4" s="1">
        <v>2</v>
      </c>
      <c r="H4" s="1">
        <v>1</v>
      </c>
      <c r="I4" s="2" t="s">
        <v>78</v>
      </c>
      <c r="J4" s="2"/>
      <c r="K4" s="1">
        <v>1</v>
      </c>
      <c r="L4" s="1">
        <v>5</v>
      </c>
      <c r="M4" s="1">
        <v>5</v>
      </c>
      <c r="N4" s="1">
        <v>4</v>
      </c>
      <c r="O4" s="1">
        <v>4</v>
      </c>
      <c r="P4" s="1">
        <v>5</v>
      </c>
      <c r="Q4" s="1">
        <v>3</v>
      </c>
      <c r="R4" s="1">
        <v>4</v>
      </c>
      <c r="S4" s="1">
        <v>4</v>
      </c>
      <c r="T4" s="1">
        <v>4</v>
      </c>
      <c r="U4" s="1">
        <v>3</v>
      </c>
      <c r="V4" s="1">
        <v>2</v>
      </c>
      <c r="W4" s="1">
        <v>2</v>
      </c>
      <c r="X4" s="2" t="s">
        <v>85</v>
      </c>
      <c r="Y4" s="2" t="s">
        <v>80</v>
      </c>
      <c r="Z4" s="1">
        <v>3</v>
      </c>
      <c r="AA4" s="2" t="s">
        <v>86</v>
      </c>
      <c r="AB4" s="2" t="s">
        <v>87</v>
      </c>
      <c r="AC4" s="2" t="s">
        <v>88</v>
      </c>
      <c r="AD4" s="2"/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</row>
    <row r="5" spans="1:39" s="7" customFormat="1" x14ac:dyDescent="0.2">
      <c r="A5" s="7">
        <v>103</v>
      </c>
      <c r="B5" s="7">
        <v>2</v>
      </c>
      <c r="C5" s="9">
        <v>21</v>
      </c>
      <c r="D5" s="7">
        <v>1</v>
      </c>
      <c r="E5" s="7">
        <v>1</v>
      </c>
      <c r="F5" s="7">
        <v>1</v>
      </c>
      <c r="G5" s="7">
        <v>2</v>
      </c>
      <c r="H5" s="7">
        <v>1</v>
      </c>
      <c r="I5" s="7" t="s">
        <v>78</v>
      </c>
      <c r="K5" s="7">
        <v>1</v>
      </c>
      <c r="L5" s="7">
        <v>5</v>
      </c>
      <c r="M5" s="7">
        <v>5</v>
      </c>
      <c r="N5" s="7">
        <v>4</v>
      </c>
      <c r="O5" s="7">
        <v>4</v>
      </c>
      <c r="P5" s="7">
        <v>4</v>
      </c>
      <c r="Q5" s="7">
        <v>4</v>
      </c>
      <c r="R5" s="7">
        <v>4</v>
      </c>
      <c r="S5" s="7">
        <v>4</v>
      </c>
      <c r="T5" s="7">
        <v>4</v>
      </c>
      <c r="U5" s="7">
        <v>3</v>
      </c>
      <c r="V5" s="7">
        <v>1</v>
      </c>
      <c r="W5" s="7">
        <v>2</v>
      </c>
      <c r="X5" s="7" t="s">
        <v>79</v>
      </c>
      <c r="Y5" s="7" t="s">
        <v>79</v>
      </c>
      <c r="Z5" s="7">
        <v>3</v>
      </c>
      <c r="AA5" s="7" t="s">
        <v>90</v>
      </c>
      <c r="AB5" s="7" t="s">
        <v>91</v>
      </c>
      <c r="AC5" s="7" t="s">
        <v>92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</row>
    <row r="6" spans="1:39" x14ac:dyDescent="0.2">
      <c r="A6" s="1">
        <v>104</v>
      </c>
      <c r="B6" s="1">
        <v>2</v>
      </c>
      <c r="C6" s="8">
        <v>19</v>
      </c>
      <c r="D6" s="1">
        <v>1</v>
      </c>
      <c r="E6" s="1">
        <v>1</v>
      </c>
      <c r="F6" s="1">
        <v>1</v>
      </c>
      <c r="G6" s="1">
        <v>2</v>
      </c>
      <c r="H6" s="1">
        <v>1</v>
      </c>
      <c r="I6" s="2" t="s">
        <v>78</v>
      </c>
      <c r="J6" s="2"/>
      <c r="K6" s="1">
        <v>1</v>
      </c>
      <c r="L6" s="1">
        <v>4</v>
      </c>
      <c r="M6" s="1">
        <v>4</v>
      </c>
      <c r="N6" s="1">
        <v>4</v>
      </c>
      <c r="O6" s="1">
        <v>4</v>
      </c>
      <c r="P6" s="1">
        <v>2</v>
      </c>
      <c r="Q6" s="1">
        <v>4</v>
      </c>
      <c r="R6" s="1">
        <v>2</v>
      </c>
      <c r="S6" s="1">
        <v>4</v>
      </c>
      <c r="T6" s="1">
        <v>4</v>
      </c>
      <c r="U6" s="1">
        <v>4</v>
      </c>
      <c r="V6" s="1">
        <v>2</v>
      </c>
      <c r="W6" s="1">
        <v>2</v>
      </c>
      <c r="X6" s="2" t="s">
        <v>94</v>
      </c>
      <c r="Y6" s="2" t="s">
        <v>80</v>
      </c>
      <c r="Z6" s="1">
        <v>2</v>
      </c>
      <c r="AA6" s="2" t="s">
        <v>95</v>
      </c>
      <c r="AB6" s="2" t="s">
        <v>96</v>
      </c>
      <c r="AC6" s="2"/>
      <c r="AD6" s="2"/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</row>
    <row r="7" spans="1:39" x14ac:dyDescent="0.2">
      <c r="A7" s="1">
        <v>105</v>
      </c>
      <c r="B7" s="1">
        <v>2</v>
      </c>
      <c r="C7" s="8">
        <v>19</v>
      </c>
      <c r="D7" s="1">
        <v>1</v>
      </c>
      <c r="E7" s="1">
        <v>1</v>
      </c>
      <c r="F7" s="1">
        <v>1</v>
      </c>
      <c r="G7" s="1">
        <v>2</v>
      </c>
      <c r="H7" s="1">
        <v>1</v>
      </c>
      <c r="I7" s="2" t="s">
        <v>78</v>
      </c>
      <c r="J7" s="2"/>
      <c r="K7" s="1">
        <v>2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3</v>
      </c>
      <c r="T7" s="1">
        <v>5</v>
      </c>
      <c r="U7" s="1">
        <v>5</v>
      </c>
      <c r="V7" s="1">
        <v>2</v>
      </c>
      <c r="W7" s="1">
        <v>2</v>
      </c>
      <c r="X7" s="2" t="s">
        <v>97</v>
      </c>
      <c r="Y7" s="2" t="s">
        <v>80</v>
      </c>
      <c r="Z7" s="1">
        <v>3</v>
      </c>
      <c r="AA7" s="2" t="s">
        <v>98</v>
      </c>
      <c r="AB7" s="2" t="s">
        <v>99</v>
      </c>
      <c r="AC7" s="2" t="s">
        <v>100</v>
      </c>
      <c r="AD7" s="2"/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</row>
    <row r="8" spans="1:39" x14ac:dyDescent="0.2">
      <c r="A8" s="1">
        <v>106</v>
      </c>
      <c r="B8" s="1">
        <v>2</v>
      </c>
      <c r="C8" s="8">
        <v>19</v>
      </c>
      <c r="D8" s="1">
        <v>1</v>
      </c>
      <c r="E8" s="1">
        <v>1</v>
      </c>
      <c r="F8" s="1">
        <v>1</v>
      </c>
      <c r="G8" s="1">
        <v>2</v>
      </c>
      <c r="H8" s="1">
        <v>1</v>
      </c>
      <c r="I8" s="2" t="s">
        <v>78</v>
      </c>
      <c r="J8" s="2"/>
      <c r="K8" s="1">
        <v>2</v>
      </c>
      <c r="L8" s="1">
        <v>5</v>
      </c>
      <c r="M8" s="1">
        <v>5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3</v>
      </c>
      <c r="T8" s="1">
        <v>4</v>
      </c>
      <c r="U8" s="1">
        <v>3</v>
      </c>
      <c r="V8" s="1">
        <v>2</v>
      </c>
      <c r="W8" s="1">
        <v>2</v>
      </c>
      <c r="X8" s="2" t="s">
        <v>97</v>
      </c>
      <c r="Y8" s="2" t="s">
        <v>80</v>
      </c>
      <c r="Z8" s="1">
        <v>3</v>
      </c>
      <c r="AA8" s="2" t="s">
        <v>101</v>
      </c>
      <c r="AB8" s="2" t="s">
        <v>102</v>
      </c>
      <c r="AC8" s="2" t="s">
        <v>103</v>
      </c>
      <c r="AD8" s="2"/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</row>
    <row r="9" spans="1:39" x14ac:dyDescent="0.2">
      <c r="A9" s="1">
        <v>108</v>
      </c>
      <c r="B9" s="1">
        <v>2</v>
      </c>
      <c r="C9" s="8">
        <v>19</v>
      </c>
      <c r="D9" s="1">
        <v>1</v>
      </c>
      <c r="E9" s="1">
        <v>1</v>
      </c>
      <c r="F9" s="1">
        <v>1</v>
      </c>
      <c r="G9" s="1">
        <v>2</v>
      </c>
      <c r="H9" s="1">
        <v>1</v>
      </c>
      <c r="I9" s="2" t="s">
        <v>78</v>
      </c>
      <c r="J9" s="2"/>
      <c r="K9" s="1">
        <v>2</v>
      </c>
      <c r="L9" s="1">
        <v>5</v>
      </c>
      <c r="M9" s="1">
        <v>5</v>
      </c>
      <c r="N9" s="1">
        <v>4</v>
      </c>
      <c r="O9" s="1">
        <v>4</v>
      </c>
      <c r="P9" s="1">
        <v>4</v>
      </c>
      <c r="Q9" s="1">
        <v>4</v>
      </c>
      <c r="R9" s="1">
        <v>3</v>
      </c>
      <c r="S9" s="1">
        <v>3</v>
      </c>
      <c r="T9" s="1">
        <v>4</v>
      </c>
      <c r="U9" s="1">
        <v>3</v>
      </c>
      <c r="V9" s="1">
        <v>2</v>
      </c>
      <c r="W9" s="1">
        <v>2</v>
      </c>
      <c r="X9" s="2" t="s">
        <v>97</v>
      </c>
      <c r="Y9" s="2" t="s">
        <v>80</v>
      </c>
      <c r="Z9" s="1">
        <v>3</v>
      </c>
      <c r="AA9" s="2" t="s">
        <v>106</v>
      </c>
      <c r="AB9" s="2" t="s">
        <v>107</v>
      </c>
      <c r="AC9" s="2" t="s">
        <v>108</v>
      </c>
      <c r="AD9" s="2"/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</row>
    <row r="10" spans="1:39" x14ac:dyDescent="0.2">
      <c r="A10" s="1">
        <v>109</v>
      </c>
      <c r="B10" s="1">
        <v>2</v>
      </c>
      <c r="C10" s="8">
        <v>23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2" t="s">
        <v>78</v>
      </c>
      <c r="J10" s="2"/>
      <c r="K10" s="1">
        <v>2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5</v>
      </c>
      <c r="V10" s="1">
        <v>2</v>
      </c>
      <c r="W10" s="1">
        <v>2</v>
      </c>
      <c r="X10" s="2" t="s">
        <v>97</v>
      </c>
      <c r="Y10" s="2" t="s">
        <v>80</v>
      </c>
      <c r="Z10" s="1">
        <v>3</v>
      </c>
      <c r="AA10" s="2" t="s">
        <v>95</v>
      </c>
      <c r="AB10" s="2" t="s">
        <v>109</v>
      </c>
      <c r="AC10" s="2" t="s">
        <v>110</v>
      </c>
      <c r="AD10" s="2"/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</row>
    <row r="11" spans="1:39" x14ac:dyDescent="0.2">
      <c r="A11" s="1">
        <v>110</v>
      </c>
      <c r="B11" s="1">
        <v>2</v>
      </c>
      <c r="C11" s="8">
        <v>21</v>
      </c>
      <c r="D11" s="1">
        <v>1</v>
      </c>
      <c r="E11" s="1">
        <v>1</v>
      </c>
      <c r="F11" s="1">
        <v>1</v>
      </c>
      <c r="G11" s="1">
        <v>2</v>
      </c>
      <c r="H11" s="1">
        <v>1</v>
      </c>
      <c r="I11" s="2" t="s">
        <v>78</v>
      </c>
      <c r="J11" s="2"/>
      <c r="K11" s="1">
        <v>2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2</v>
      </c>
      <c r="T11" s="1">
        <v>4</v>
      </c>
      <c r="U11" s="1">
        <v>4</v>
      </c>
      <c r="V11" s="1">
        <v>2</v>
      </c>
      <c r="W11" s="1">
        <v>2</v>
      </c>
      <c r="X11" s="2" t="s">
        <v>111</v>
      </c>
      <c r="Y11" s="2" t="s">
        <v>80</v>
      </c>
      <c r="Z11" s="1">
        <v>2</v>
      </c>
      <c r="AA11" s="2" t="s">
        <v>112</v>
      </c>
      <c r="AB11" s="2" t="s">
        <v>113</v>
      </c>
      <c r="AC11" s="2"/>
      <c r="AD11" s="2"/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</row>
    <row r="12" spans="1:39" x14ac:dyDescent="0.2">
      <c r="A12" s="1">
        <v>111</v>
      </c>
      <c r="B12" s="1">
        <v>2</v>
      </c>
      <c r="C12" s="8">
        <v>22</v>
      </c>
      <c r="D12" s="1">
        <v>1</v>
      </c>
      <c r="E12" s="1">
        <v>1</v>
      </c>
      <c r="F12" s="1">
        <v>1</v>
      </c>
      <c r="G12" s="1">
        <v>2</v>
      </c>
      <c r="H12" s="1">
        <v>1</v>
      </c>
      <c r="I12" s="2" t="s">
        <v>78</v>
      </c>
      <c r="J12" s="2"/>
      <c r="K12" s="1">
        <v>2</v>
      </c>
      <c r="L12" s="1">
        <v>5</v>
      </c>
      <c r="M12" s="1">
        <v>5</v>
      </c>
      <c r="N12" s="1">
        <v>4</v>
      </c>
      <c r="O12" s="1">
        <v>5</v>
      </c>
      <c r="P12" s="1">
        <v>4</v>
      </c>
      <c r="Q12" s="1">
        <v>5</v>
      </c>
      <c r="R12" s="1">
        <v>4</v>
      </c>
      <c r="S12" s="1">
        <v>5</v>
      </c>
      <c r="T12" s="1">
        <v>5</v>
      </c>
      <c r="U12" s="1">
        <v>3</v>
      </c>
      <c r="V12" s="1">
        <v>2</v>
      </c>
      <c r="W12" s="1">
        <v>2</v>
      </c>
      <c r="X12" s="2" t="s">
        <v>97</v>
      </c>
      <c r="Y12" s="2" t="s">
        <v>80</v>
      </c>
      <c r="Z12" s="1">
        <v>2</v>
      </c>
      <c r="AA12" s="2" t="s">
        <v>114</v>
      </c>
      <c r="AB12" s="2" t="s">
        <v>115</v>
      </c>
      <c r="AC12" s="2"/>
      <c r="AD12" s="2"/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</row>
    <row r="13" spans="1:39" x14ac:dyDescent="0.2">
      <c r="A13" s="1">
        <v>112</v>
      </c>
      <c r="B13" s="1">
        <v>2</v>
      </c>
      <c r="C13" s="8">
        <v>19</v>
      </c>
      <c r="D13" s="1">
        <v>1</v>
      </c>
      <c r="E13" s="1">
        <v>1</v>
      </c>
      <c r="F13" s="1">
        <v>1</v>
      </c>
      <c r="G13" s="1">
        <v>2</v>
      </c>
      <c r="H13" s="1">
        <v>1</v>
      </c>
      <c r="I13" s="2" t="s">
        <v>78</v>
      </c>
      <c r="J13" s="2"/>
      <c r="K13" s="1">
        <v>2</v>
      </c>
      <c r="L13" s="1">
        <v>5</v>
      </c>
      <c r="M13" s="1">
        <v>5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3</v>
      </c>
      <c r="T13" s="1">
        <v>5</v>
      </c>
      <c r="U13" s="1">
        <v>4</v>
      </c>
      <c r="V13" s="1">
        <v>2</v>
      </c>
      <c r="W13" s="1">
        <v>2</v>
      </c>
      <c r="X13" s="2" t="s">
        <v>97</v>
      </c>
      <c r="Y13" s="2" t="s">
        <v>80</v>
      </c>
      <c r="Z13" s="1">
        <v>2</v>
      </c>
      <c r="AA13" s="2" t="s">
        <v>78</v>
      </c>
      <c r="AB13" s="2" t="s">
        <v>113</v>
      </c>
      <c r="AC13" s="2"/>
      <c r="AD13" s="2"/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</row>
    <row r="14" spans="1:39" x14ac:dyDescent="0.2">
      <c r="A14" s="1">
        <v>113</v>
      </c>
      <c r="B14" s="1">
        <v>2</v>
      </c>
      <c r="C14" s="8">
        <v>21</v>
      </c>
      <c r="D14" s="1">
        <v>1</v>
      </c>
      <c r="E14" s="1">
        <v>1</v>
      </c>
      <c r="F14" s="1">
        <v>1</v>
      </c>
      <c r="G14" s="1">
        <v>2</v>
      </c>
      <c r="H14" s="1">
        <v>1</v>
      </c>
      <c r="I14" s="2" t="s">
        <v>78</v>
      </c>
      <c r="J14" s="2"/>
      <c r="K14" s="1">
        <v>2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5</v>
      </c>
      <c r="V14" s="1">
        <v>2</v>
      </c>
      <c r="W14" s="1">
        <v>1</v>
      </c>
      <c r="X14" s="2" t="s">
        <v>79</v>
      </c>
      <c r="Y14" s="2" t="s">
        <v>80</v>
      </c>
      <c r="Z14" s="1">
        <v>2</v>
      </c>
      <c r="AA14" s="2" t="s">
        <v>116</v>
      </c>
      <c r="AB14" s="2" t="s">
        <v>117</v>
      </c>
      <c r="AC14" s="2"/>
      <c r="AD14" s="2"/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</row>
    <row r="15" spans="1:39" x14ac:dyDescent="0.2">
      <c r="A15" s="1">
        <v>114</v>
      </c>
      <c r="B15" s="1">
        <v>2</v>
      </c>
      <c r="C15" s="8">
        <v>21</v>
      </c>
      <c r="D15" s="1">
        <v>1</v>
      </c>
      <c r="E15" s="1">
        <v>1</v>
      </c>
      <c r="F15" s="1">
        <v>1</v>
      </c>
      <c r="G15" s="1">
        <v>2</v>
      </c>
      <c r="H15" s="1">
        <v>1</v>
      </c>
      <c r="I15" s="2" t="s">
        <v>78</v>
      </c>
      <c r="J15" s="2"/>
      <c r="K15" s="1">
        <v>2</v>
      </c>
      <c r="L15" s="1">
        <v>5</v>
      </c>
      <c r="M15" s="1">
        <v>5</v>
      </c>
      <c r="N15" s="1">
        <v>4</v>
      </c>
      <c r="O15" s="1">
        <v>5</v>
      </c>
      <c r="P15" s="1">
        <v>4</v>
      </c>
      <c r="Q15" s="1">
        <v>5</v>
      </c>
      <c r="R15" s="1">
        <v>4</v>
      </c>
      <c r="S15" s="1">
        <v>3</v>
      </c>
      <c r="T15" s="1">
        <v>5</v>
      </c>
      <c r="U15" s="1">
        <v>3</v>
      </c>
      <c r="V15" s="1">
        <v>2</v>
      </c>
      <c r="W15" s="1">
        <v>2</v>
      </c>
      <c r="X15" s="2" t="s">
        <v>97</v>
      </c>
      <c r="Y15" s="2" t="s">
        <v>80</v>
      </c>
      <c r="Z15" s="1">
        <v>2</v>
      </c>
      <c r="AA15" s="2" t="s">
        <v>112</v>
      </c>
      <c r="AB15" s="2" t="s">
        <v>107</v>
      </c>
      <c r="AC15" s="2"/>
      <c r="AD15" s="2"/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</row>
    <row r="16" spans="1:39" x14ac:dyDescent="0.2">
      <c r="A16" s="1">
        <v>115</v>
      </c>
      <c r="B16" s="1">
        <v>1</v>
      </c>
      <c r="C16" s="8">
        <v>25</v>
      </c>
      <c r="D16" s="1">
        <v>1</v>
      </c>
      <c r="E16" s="1">
        <v>1</v>
      </c>
      <c r="F16" s="1">
        <v>1</v>
      </c>
      <c r="G16" s="1">
        <v>2</v>
      </c>
      <c r="H16" s="1">
        <v>1</v>
      </c>
      <c r="I16" s="2" t="s">
        <v>78</v>
      </c>
      <c r="J16" s="2"/>
      <c r="K16" s="1">
        <v>2</v>
      </c>
      <c r="L16" s="1">
        <v>5</v>
      </c>
      <c r="M16" s="1">
        <v>5</v>
      </c>
      <c r="N16" s="1">
        <v>4</v>
      </c>
      <c r="O16" s="1">
        <v>5</v>
      </c>
      <c r="P16" s="1">
        <v>5</v>
      </c>
      <c r="Q16" s="1">
        <v>4</v>
      </c>
      <c r="R16" s="1">
        <v>4</v>
      </c>
      <c r="S16" s="1">
        <v>5</v>
      </c>
      <c r="T16" s="1">
        <v>4</v>
      </c>
      <c r="U16" s="1">
        <v>4</v>
      </c>
      <c r="V16" s="1">
        <v>2</v>
      </c>
      <c r="W16" s="1">
        <v>2</v>
      </c>
      <c r="X16" s="2" t="s">
        <v>97</v>
      </c>
      <c r="Y16" s="2" t="s">
        <v>80</v>
      </c>
      <c r="Z16" s="1">
        <v>3</v>
      </c>
      <c r="AA16" s="2" t="s">
        <v>119</v>
      </c>
      <c r="AB16" s="2" t="s">
        <v>120</v>
      </c>
      <c r="AC16" s="2" t="s">
        <v>121</v>
      </c>
      <c r="AD16" s="2"/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</row>
    <row r="17" spans="1:39" x14ac:dyDescent="0.2">
      <c r="A17" s="1">
        <v>116</v>
      </c>
      <c r="B17" s="1">
        <v>2</v>
      </c>
      <c r="C17" s="8">
        <v>20</v>
      </c>
      <c r="D17" s="1">
        <v>1</v>
      </c>
      <c r="E17" s="1">
        <v>1</v>
      </c>
      <c r="F17" s="1">
        <v>1</v>
      </c>
      <c r="G17" s="1">
        <v>2</v>
      </c>
      <c r="H17" s="1">
        <v>1</v>
      </c>
      <c r="I17" s="2" t="s">
        <v>78</v>
      </c>
      <c r="J17" s="2"/>
      <c r="K17" s="1">
        <v>2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4</v>
      </c>
      <c r="R17" s="1">
        <v>4</v>
      </c>
      <c r="S17" s="1">
        <v>4</v>
      </c>
      <c r="T17" s="1">
        <v>4</v>
      </c>
      <c r="U17" s="1">
        <v>4</v>
      </c>
      <c r="V17" s="1">
        <v>2</v>
      </c>
      <c r="W17" s="1">
        <v>2</v>
      </c>
      <c r="X17" s="2" t="s">
        <v>79</v>
      </c>
      <c r="Y17" s="2" t="s">
        <v>80</v>
      </c>
      <c r="Z17" s="1">
        <v>3</v>
      </c>
      <c r="AA17" s="2" t="s">
        <v>116</v>
      </c>
      <c r="AB17" s="2" t="s">
        <v>88</v>
      </c>
      <c r="AC17" s="2" t="s">
        <v>123</v>
      </c>
      <c r="AD17" s="2"/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</row>
    <row r="18" spans="1:39" x14ac:dyDescent="0.2">
      <c r="A18" s="1">
        <v>117</v>
      </c>
      <c r="B18" s="1">
        <v>2</v>
      </c>
      <c r="C18" s="8">
        <v>27</v>
      </c>
      <c r="D18" s="1">
        <v>1</v>
      </c>
      <c r="E18" s="1">
        <v>1</v>
      </c>
      <c r="F18" s="1">
        <v>1</v>
      </c>
      <c r="G18" s="1">
        <v>2</v>
      </c>
      <c r="H18" s="1">
        <v>1</v>
      </c>
      <c r="I18" s="2" t="s">
        <v>78</v>
      </c>
      <c r="J18" s="2"/>
      <c r="K18" s="1">
        <v>2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4</v>
      </c>
      <c r="R18" s="1">
        <v>5</v>
      </c>
      <c r="S18" s="1">
        <v>3</v>
      </c>
      <c r="T18" s="1">
        <v>5</v>
      </c>
      <c r="U18" s="1">
        <v>4</v>
      </c>
      <c r="V18" s="1">
        <v>2</v>
      </c>
      <c r="W18" s="1">
        <v>1</v>
      </c>
      <c r="X18" s="2" t="s">
        <v>97</v>
      </c>
      <c r="Y18" s="2" t="s">
        <v>97</v>
      </c>
      <c r="Z18" s="1">
        <v>2</v>
      </c>
      <c r="AA18" s="2" t="s">
        <v>125</v>
      </c>
      <c r="AB18" s="2" t="s">
        <v>126</v>
      </c>
      <c r="AC18" s="2"/>
      <c r="AD18" s="2"/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</row>
    <row r="19" spans="1:39" x14ac:dyDescent="0.2">
      <c r="A19" s="1">
        <v>118</v>
      </c>
      <c r="B19" s="1">
        <v>2</v>
      </c>
      <c r="C19" s="8">
        <v>19</v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2" t="s">
        <v>78</v>
      </c>
      <c r="J19" s="2"/>
      <c r="K19" s="1">
        <v>2</v>
      </c>
      <c r="L19" s="1">
        <v>4</v>
      </c>
      <c r="M19" s="1">
        <v>4</v>
      </c>
      <c r="N19" s="1">
        <v>4</v>
      </c>
      <c r="O19" s="1">
        <v>4</v>
      </c>
      <c r="P19" s="1">
        <v>4</v>
      </c>
      <c r="Q19" s="1">
        <v>4</v>
      </c>
      <c r="R19" s="1">
        <v>4</v>
      </c>
      <c r="S19" s="1">
        <v>1</v>
      </c>
      <c r="T19" s="1">
        <v>4</v>
      </c>
      <c r="U19" s="1">
        <v>4</v>
      </c>
      <c r="V19" s="1">
        <v>2</v>
      </c>
      <c r="W19" s="1">
        <v>2</v>
      </c>
      <c r="X19" s="2" t="s">
        <v>97</v>
      </c>
      <c r="Y19" s="2" t="s">
        <v>80</v>
      </c>
      <c r="Z19" s="1">
        <v>3</v>
      </c>
      <c r="AA19" s="2" t="s">
        <v>127</v>
      </c>
      <c r="AB19" s="2" t="s">
        <v>128</v>
      </c>
      <c r="AC19" s="2" t="s">
        <v>129</v>
      </c>
      <c r="AD19" s="2"/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</row>
    <row r="20" spans="1:39" x14ac:dyDescent="0.2">
      <c r="A20" s="1">
        <v>120</v>
      </c>
      <c r="B20" s="1">
        <v>2</v>
      </c>
      <c r="C20" s="8">
        <v>30</v>
      </c>
      <c r="D20" s="1">
        <v>1</v>
      </c>
      <c r="E20" s="1">
        <v>1</v>
      </c>
      <c r="F20" s="1">
        <v>1</v>
      </c>
      <c r="G20" s="1">
        <v>2</v>
      </c>
      <c r="H20" s="1">
        <v>1</v>
      </c>
      <c r="I20" s="2" t="s">
        <v>78</v>
      </c>
      <c r="J20" s="2"/>
      <c r="K20" s="1">
        <v>2</v>
      </c>
      <c r="L20" s="1">
        <v>5</v>
      </c>
      <c r="M20" s="1">
        <v>5</v>
      </c>
      <c r="N20" s="1">
        <v>4</v>
      </c>
      <c r="O20" s="1">
        <v>5</v>
      </c>
      <c r="P20" s="1">
        <v>4</v>
      </c>
      <c r="Q20" s="1">
        <v>5</v>
      </c>
      <c r="R20" s="1">
        <v>4</v>
      </c>
      <c r="S20" s="1">
        <v>4</v>
      </c>
      <c r="T20" s="1">
        <v>5</v>
      </c>
      <c r="U20" s="1">
        <v>4</v>
      </c>
      <c r="V20" s="1">
        <v>2</v>
      </c>
      <c r="W20" s="1">
        <v>2</v>
      </c>
      <c r="X20" s="2" t="s">
        <v>79</v>
      </c>
      <c r="Y20" s="2" t="s">
        <v>80</v>
      </c>
      <c r="Z20" s="1">
        <v>3</v>
      </c>
      <c r="AA20" s="2" t="s">
        <v>135</v>
      </c>
      <c r="AB20" s="2" t="s">
        <v>136</v>
      </c>
      <c r="AC20" s="2" t="s">
        <v>137</v>
      </c>
      <c r="AD20" s="2"/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</row>
    <row r="21" spans="1:39" x14ac:dyDescent="0.2">
      <c r="A21" s="1">
        <v>121</v>
      </c>
      <c r="B21" s="1">
        <v>2</v>
      </c>
      <c r="C21" s="8">
        <v>22</v>
      </c>
      <c r="D21" s="1">
        <v>1</v>
      </c>
      <c r="E21" s="1">
        <v>1</v>
      </c>
      <c r="F21" s="1">
        <v>1</v>
      </c>
      <c r="G21" s="1">
        <v>2</v>
      </c>
      <c r="H21" s="1">
        <v>1</v>
      </c>
      <c r="I21" s="2" t="s">
        <v>78</v>
      </c>
      <c r="J21" s="2"/>
      <c r="K21" s="1">
        <v>2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2</v>
      </c>
      <c r="W21" s="1">
        <v>2</v>
      </c>
      <c r="X21" s="2" t="s">
        <v>97</v>
      </c>
      <c r="Y21" s="2" t="s">
        <v>80</v>
      </c>
      <c r="Z21" s="1">
        <v>2</v>
      </c>
      <c r="AA21" s="2" t="s">
        <v>138</v>
      </c>
      <c r="AB21" s="2" t="s">
        <v>139</v>
      </c>
      <c r="AC21" s="2"/>
      <c r="AD21" s="2"/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</row>
    <row r="22" spans="1:39" x14ac:dyDescent="0.2">
      <c r="A22" s="1">
        <v>122</v>
      </c>
      <c r="B22" s="1">
        <v>2</v>
      </c>
      <c r="C22" s="8">
        <v>21</v>
      </c>
      <c r="D22" s="1">
        <v>1</v>
      </c>
      <c r="E22" s="1">
        <v>1</v>
      </c>
      <c r="F22" s="1">
        <v>1</v>
      </c>
      <c r="G22" s="1">
        <v>2</v>
      </c>
      <c r="H22" s="1">
        <v>1</v>
      </c>
      <c r="I22" s="2" t="s">
        <v>78</v>
      </c>
      <c r="J22" s="2"/>
      <c r="K22" s="1">
        <v>2</v>
      </c>
      <c r="L22" s="1">
        <v>5</v>
      </c>
      <c r="M22" s="1">
        <v>5</v>
      </c>
      <c r="N22" s="1">
        <v>5</v>
      </c>
      <c r="O22" s="1">
        <v>5</v>
      </c>
      <c r="P22" s="1">
        <v>4</v>
      </c>
      <c r="Q22" s="1">
        <v>5</v>
      </c>
      <c r="R22" s="1">
        <v>4</v>
      </c>
      <c r="S22" s="1">
        <v>3</v>
      </c>
      <c r="T22" s="1">
        <v>5</v>
      </c>
      <c r="U22" s="1">
        <v>4</v>
      </c>
      <c r="V22" s="1">
        <v>2</v>
      </c>
      <c r="W22" s="1">
        <v>2</v>
      </c>
      <c r="X22" s="2" t="s">
        <v>97</v>
      </c>
      <c r="Y22" s="2" t="s">
        <v>80</v>
      </c>
      <c r="Z22" s="1">
        <v>2</v>
      </c>
      <c r="AA22" s="2" t="s">
        <v>104</v>
      </c>
      <c r="AB22" s="2" t="s">
        <v>113</v>
      </c>
      <c r="AC22" s="2"/>
      <c r="AD22" s="2"/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</row>
    <row r="23" spans="1:39" x14ac:dyDescent="0.2">
      <c r="A23" s="1">
        <v>123</v>
      </c>
      <c r="B23" s="1">
        <v>4</v>
      </c>
      <c r="C23" s="8">
        <v>18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2" t="s">
        <v>78</v>
      </c>
      <c r="J23" s="2"/>
      <c r="K23" s="1">
        <v>2</v>
      </c>
      <c r="L23" s="1">
        <v>5</v>
      </c>
      <c r="M23" s="1">
        <v>5</v>
      </c>
      <c r="N23" s="1">
        <v>4</v>
      </c>
      <c r="O23" s="1">
        <v>5</v>
      </c>
      <c r="P23" s="1">
        <v>3</v>
      </c>
      <c r="Q23" s="1">
        <v>5</v>
      </c>
      <c r="R23" s="1">
        <v>4</v>
      </c>
      <c r="S23" s="1">
        <v>4</v>
      </c>
      <c r="T23" s="1">
        <v>5</v>
      </c>
      <c r="U23" s="1">
        <v>4</v>
      </c>
      <c r="V23" s="1">
        <v>2</v>
      </c>
      <c r="W23" s="1">
        <v>2</v>
      </c>
      <c r="X23" s="2" t="s">
        <v>80</v>
      </c>
      <c r="Y23" s="2" t="s">
        <v>80</v>
      </c>
      <c r="Z23" s="1">
        <v>4</v>
      </c>
      <c r="AA23" s="2" t="s">
        <v>101</v>
      </c>
      <c r="AB23" s="2" t="s">
        <v>141</v>
      </c>
      <c r="AC23" s="2" t="s">
        <v>110</v>
      </c>
      <c r="AD23" s="2" t="s">
        <v>132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</row>
    <row r="24" spans="1:39" x14ac:dyDescent="0.2">
      <c r="A24" s="1">
        <v>125</v>
      </c>
      <c r="B24" s="1">
        <v>2</v>
      </c>
      <c r="C24" s="8">
        <v>20</v>
      </c>
      <c r="D24" s="1">
        <v>1</v>
      </c>
      <c r="E24" s="1">
        <v>1</v>
      </c>
      <c r="F24" s="1">
        <v>1</v>
      </c>
      <c r="G24" s="1">
        <v>2</v>
      </c>
      <c r="H24" s="1">
        <v>1</v>
      </c>
      <c r="I24" s="2" t="s">
        <v>78</v>
      </c>
      <c r="J24" s="2"/>
      <c r="K24" s="1">
        <v>2</v>
      </c>
      <c r="L24" s="1">
        <v>5</v>
      </c>
      <c r="M24" s="1">
        <v>5</v>
      </c>
      <c r="N24" s="1">
        <v>4</v>
      </c>
      <c r="O24" s="1">
        <v>5</v>
      </c>
      <c r="P24" s="1">
        <v>4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2</v>
      </c>
      <c r="W24" s="1">
        <v>1</v>
      </c>
      <c r="X24" s="2" t="s">
        <v>97</v>
      </c>
      <c r="Y24" s="2" t="s">
        <v>80</v>
      </c>
      <c r="Z24" s="1">
        <v>2</v>
      </c>
      <c r="AA24" s="2" t="s">
        <v>104</v>
      </c>
      <c r="AB24" s="2" t="s">
        <v>113</v>
      </c>
      <c r="AC24" s="2"/>
      <c r="AD24" s="2"/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</row>
    <row r="25" spans="1:39" x14ac:dyDescent="0.2">
      <c r="A25" s="1">
        <v>126</v>
      </c>
      <c r="B25" s="1">
        <v>2</v>
      </c>
      <c r="C25" s="8">
        <v>23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2" t="s">
        <v>78</v>
      </c>
      <c r="J25" s="2"/>
      <c r="K25" s="1">
        <v>2</v>
      </c>
      <c r="L25" s="1">
        <v>4</v>
      </c>
      <c r="M25" s="1">
        <v>4</v>
      </c>
      <c r="N25" s="1">
        <v>2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1</v>
      </c>
      <c r="W25" s="1">
        <v>2</v>
      </c>
      <c r="X25" s="2" t="s">
        <v>79</v>
      </c>
      <c r="Y25" s="2" t="s">
        <v>80</v>
      </c>
      <c r="Z25" s="1">
        <v>3</v>
      </c>
      <c r="AA25" s="2" t="s">
        <v>116</v>
      </c>
      <c r="AB25" s="2" t="s">
        <v>142</v>
      </c>
      <c r="AC25" s="2" t="s">
        <v>143</v>
      </c>
      <c r="AD25" s="2"/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</row>
    <row r="26" spans="1:39" x14ac:dyDescent="0.2">
      <c r="A26" s="1">
        <v>127</v>
      </c>
      <c r="B26" s="1">
        <v>1</v>
      </c>
      <c r="C26" s="8">
        <v>19</v>
      </c>
      <c r="D26" s="1">
        <v>1</v>
      </c>
      <c r="E26" s="1">
        <v>1</v>
      </c>
      <c r="F26" s="1">
        <v>1</v>
      </c>
      <c r="G26" s="1">
        <v>2</v>
      </c>
      <c r="H26" s="1">
        <v>1</v>
      </c>
      <c r="I26" s="2" t="s">
        <v>78</v>
      </c>
      <c r="J26" s="2"/>
      <c r="K26" s="1">
        <v>2</v>
      </c>
      <c r="L26" s="1">
        <v>5</v>
      </c>
      <c r="M26" s="1">
        <v>5</v>
      </c>
      <c r="N26" s="1">
        <v>5</v>
      </c>
      <c r="O26" s="1">
        <v>5</v>
      </c>
      <c r="P26" s="1">
        <v>3</v>
      </c>
      <c r="Q26" s="1">
        <v>5</v>
      </c>
      <c r="R26" s="1">
        <v>4</v>
      </c>
      <c r="S26" s="1">
        <v>3</v>
      </c>
      <c r="T26" s="1">
        <v>5</v>
      </c>
      <c r="U26" s="1">
        <v>3</v>
      </c>
      <c r="V26" s="1">
        <v>2</v>
      </c>
      <c r="W26" s="1">
        <v>2</v>
      </c>
      <c r="X26" s="2" t="s">
        <v>85</v>
      </c>
      <c r="Y26" s="2" t="s">
        <v>97</v>
      </c>
      <c r="Z26" s="1">
        <v>2</v>
      </c>
      <c r="AA26" s="2" t="s">
        <v>144</v>
      </c>
      <c r="AB26" s="2" t="s">
        <v>120</v>
      </c>
      <c r="AC26" s="2"/>
      <c r="AD26" s="2"/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</row>
    <row r="27" spans="1:39" x14ac:dyDescent="0.2">
      <c r="A27" s="1">
        <v>128</v>
      </c>
      <c r="B27" s="1">
        <v>2</v>
      </c>
      <c r="C27" s="8">
        <v>26</v>
      </c>
      <c r="D27" s="1">
        <v>1</v>
      </c>
      <c r="E27" s="1">
        <v>1</v>
      </c>
      <c r="F27" s="1">
        <v>1</v>
      </c>
      <c r="G27" s="1">
        <v>2</v>
      </c>
      <c r="H27" s="1">
        <v>1</v>
      </c>
      <c r="I27" s="2" t="s">
        <v>78</v>
      </c>
      <c r="J27" s="2"/>
      <c r="K27" s="1">
        <v>1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1</v>
      </c>
      <c r="W27" s="1">
        <v>2</v>
      </c>
      <c r="X27" s="2" t="s">
        <v>97</v>
      </c>
      <c r="Y27" s="2" t="s">
        <v>80</v>
      </c>
      <c r="Z27" s="1">
        <v>1</v>
      </c>
      <c r="AA27" s="2" t="s">
        <v>95</v>
      </c>
      <c r="AB27" s="2"/>
      <c r="AC27" s="2"/>
      <c r="AD27" s="2"/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</row>
    <row r="28" spans="1:39" x14ac:dyDescent="0.2">
      <c r="A28" s="1">
        <v>130</v>
      </c>
      <c r="B28" s="1">
        <v>1</v>
      </c>
      <c r="C28" s="8">
        <v>22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2" t="s">
        <v>78</v>
      </c>
      <c r="J28" s="2"/>
      <c r="K28" s="1">
        <v>1</v>
      </c>
      <c r="L28" s="1">
        <v>5</v>
      </c>
      <c r="M28" s="1">
        <v>5</v>
      </c>
      <c r="N28" s="1">
        <v>5</v>
      </c>
      <c r="O28" s="1">
        <v>5</v>
      </c>
      <c r="P28" s="1">
        <v>4</v>
      </c>
      <c r="Q28" s="1">
        <v>5</v>
      </c>
      <c r="R28" s="1">
        <v>4</v>
      </c>
      <c r="S28" s="1">
        <v>5</v>
      </c>
      <c r="T28" s="1">
        <v>5</v>
      </c>
      <c r="U28" s="1">
        <v>5</v>
      </c>
      <c r="V28" s="1">
        <v>2</v>
      </c>
      <c r="W28" s="1">
        <v>2</v>
      </c>
      <c r="X28" s="2" t="s">
        <v>94</v>
      </c>
      <c r="Y28" s="2" t="s">
        <v>80</v>
      </c>
      <c r="Z28" s="1">
        <v>3</v>
      </c>
      <c r="AA28" s="2" t="s">
        <v>114</v>
      </c>
      <c r="AB28" s="2" t="s">
        <v>102</v>
      </c>
      <c r="AC28" s="2" t="s">
        <v>146</v>
      </c>
      <c r="AD28" s="2"/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</row>
    <row r="29" spans="1:39" x14ac:dyDescent="0.2">
      <c r="A29" s="1">
        <v>131</v>
      </c>
      <c r="B29" s="1">
        <v>2</v>
      </c>
      <c r="C29" s="8">
        <v>20</v>
      </c>
      <c r="D29" s="1">
        <v>1</v>
      </c>
      <c r="E29" s="1">
        <v>1</v>
      </c>
      <c r="F29" s="1">
        <v>1</v>
      </c>
      <c r="G29" s="1">
        <v>2</v>
      </c>
      <c r="H29" s="1">
        <v>1</v>
      </c>
      <c r="I29" s="2" t="s">
        <v>78</v>
      </c>
      <c r="J29" s="2"/>
      <c r="K29" s="1">
        <v>2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4</v>
      </c>
      <c r="R29" s="1">
        <v>5</v>
      </c>
      <c r="S29" s="1">
        <v>4</v>
      </c>
      <c r="T29" s="1">
        <v>5</v>
      </c>
      <c r="U29" s="1">
        <v>5</v>
      </c>
      <c r="V29" s="1">
        <v>2</v>
      </c>
      <c r="W29" s="1">
        <v>2</v>
      </c>
      <c r="X29" s="2" t="s">
        <v>79</v>
      </c>
      <c r="Y29" s="2" t="s">
        <v>80</v>
      </c>
      <c r="Z29" s="1">
        <v>4</v>
      </c>
      <c r="AA29" s="2" t="s">
        <v>116</v>
      </c>
      <c r="AB29" s="2" t="s">
        <v>147</v>
      </c>
      <c r="AC29" s="2" t="s">
        <v>148</v>
      </c>
      <c r="AD29" s="2" t="s">
        <v>149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</row>
    <row r="30" spans="1:39" x14ac:dyDescent="0.2">
      <c r="A30" s="1">
        <v>132</v>
      </c>
      <c r="B30" s="1">
        <v>2</v>
      </c>
      <c r="C30" s="8">
        <v>21</v>
      </c>
      <c r="D30" s="1">
        <v>1</v>
      </c>
      <c r="E30" s="1">
        <v>1</v>
      </c>
      <c r="F30" s="1">
        <v>1</v>
      </c>
      <c r="G30" s="1">
        <v>2</v>
      </c>
      <c r="H30" s="1">
        <v>1</v>
      </c>
      <c r="I30" s="2" t="s">
        <v>78</v>
      </c>
      <c r="J30" s="2"/>
      <c r="K30" s="1">
        <v>1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2</v>
      </c>
      <c r="W30" s="1">
        <v>2</v>
      </c>
      <c r="X30" s="2" t="s">
        <v>97</v>
      </c>
      <c r="Y30" s="2" t="s">
        <v>80</v>
      </c>
      <c r="Z30" s="1">
        <v>4</v>
      </c>
      <c r="AA30" s="2" t="s">
        <v>150</v>
      </c>
      <c r="AB30" s="2" t="s">
        <v>101</v>
      </c>
      <c r="AC30" s="2" t="s">
        <v>109</v>
      </c>
      <c r="AD30" s="2" t="s">
        <v>151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</row>
    <row r="31" spans="1:39" x14ac:dyDescent="0.2">
      <c r="A31" s="1">
        <v>133</v>
      </c>
      <c r="B31" s="1">
        <v>1</v>
      </c>
      <c r="C31" s="8">
        <v>21</v>
      </c>
      <c r="D31" s="1">
        <v>1</v>
      </c>
      <c r="E31" s="1">
        <v>1</v>
      </c>
      <c r="F31" s="1">
        <v>1</v>
      </c>
      <c r="G31" s="1">
        <v>2</v>
      </c>
      <c r="H31" s="1">
        <v>1</v>
      </c>
      <c r="I31" s="2" t="s">
        <v>78</v>
      </c>
      <c r="J31" s="2"/>
      <c r="K31" s="1">
        <v>2</v>
      </c>
      <c r="L31" s="1">
        <v>5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5</v>
      </c>
      <c r="V31" s="1">
        <v>2</v>
      </c>
      <c r="W31" s="1">
        <v>2</v>
      </c>
      <c r="X31" s="2" t="s">
        <v>97</v>
      </c>
      <c r="Y31" s="2" t="s">
        <v>97</v>
      </c>
      <c r="Z31" s="1">
        <v>3</v>
      </c>
      <c r="AA31" s="2" t="s">
        <v>152</v>
      </c>
      <c r="AB31" s="2" t="s">
        <v>153</v>
      </c>
      <c r="AC31" s="2" t="s">
        <v>154</v>
      </c>
      <c r="AD31" s="2"/>
      <c r="AE31" s="1">
        <v>1</v>
      </c>
      <c r="AF31" s="1">
        <v>1</v>
      </c>
      <c r="AG31" s="1">
        <v>2</v>
      </c>
      <c r="AH31" s="1">
        <v>2</v>
      </c>
      <c r="AI31" s="1">
        <v>2</v>
      </c>
      <c r="AJ31" s="1">
        <v>2</v>
      </c>
      <c r="AK31" s="1">
        <v>2</v>
      </c>
      <c r="AL31" s="1">
        <v>1</v>
      </c>
      <c r="AM31" s="1">
        <v>2</v>
      </c>
    </row>
    <row r="32" spans="1:39" x14ac:dyDescent="0.2">
      <c r="A32" s="1">
        <v>134</v>
      </c>
      <c r="B32" s="1">
        <v>2</v>
      </c>
      <c r="C32" s="8">
        <v>24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2" t="s">
        <v>78</v>
      </c>
      <c r="J32" s="2"/>
      <c r="K32" s="1">
        <v>2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2</v>
      </c>
      <c r="W32" s="1">
        <v>2</v>
      </c>
      <c r="X32" s="2" t="s">
        <v>97</v>
      </c>
      <c r="Y32" s="2" t="s">
        <v>80</v>
      </c>
      <c r="Z32" s="1">
        <v>2</v>
      </c>
      <c r="AA32" s="2" t="s">
        <v>155</v>
      </c>
      <c r="AB32" s="2" t="s">
        <v>156</v>
      </c>
      <c r="AC32" s="2"/>
      <c r="AD32" s="2"/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</row>
    <row r="33" spans="1:39" x14ac:dyDescent="0.2">
      <c r="A33" s="1">
        <v>135</v>
      </c>
      <c r="B33" s="1">
        <v>2</v>
      </c>
      <c r="C33" s="8">
        <v>23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2" t="s">
        <v>78</v>
      </c>
      <c r="J33" s="2"/>
      <c r="K33" s="1">
        <v>2</v>
      </c>
      <c r="L33" s="1">
        <v>5</v>
      </c>
      <c r="M33" s="1">
        <v>5</v>
      </c>
      <c r="N33" s="1">
        <v>4</v>
      </c>
      <c r="O33" s="1">
        <v>5</v>
      </c>
      <c r="P33" s="1">
        <v>5</v>
      </c>
      <c r="Q33" s="1">
        <v>5</v>
      </c>
      <c r="R33" s="1">
        <v>5</v>
      </c>
      <c r="S33" s="1">
        <v>4</v>
      </c>
      <c r="T33" s="1">
        <v>5</v>
      </c>
      <c r="U33" s="1">
        <v>5</v>
      </c>
      <c r="V33" s="1">
        <v>2</v>
      </c>
      <c r="W33" s="1">
        <v>1</v>
      </c>
      <c r="X33" s="2" t="s">
        <v>97</v>
      </c>
      <c r="Y33" s="2" t="s">
        <v>80</v>
      </c>
      <c r="Z33" s="1">
        <v>3</v>
      </c>
      <c r="AA33" s="2" t="s">
        <v>157</v>
      </c>
      <c r="AB33" s="2" t="s">
        <v>158</v>
      </c>
      <c r="AC33" s="2" t="s">
        <v>159</v>
      </c>
      <c r="AD33" s="2"/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</row>
    <row r="34" spans="1:39" x14ac:dyDescent="0.2">
      <c r="A34" s="1">
        <v>136</v>
      </c>
      <c r="B34" s="1">
        <v>2</v>
      </c>
      <c r="C34" s="8">
        <v>22</v>
      </c>
      <c r="D34" s="1">
        <v>1</v>
      </c>
      <c r="E34" s="1">
        <v>1</v>
      </c>
      <c r="F34" s="1">
        <v>1</v>
      </c>
      <c r="G34" s="1">
        <v>2</v>
      </c>
      <c r="H34" s="1">
        <v>1</v>
      </c>
      <c r="I34" s="2" t="s">
        <v>78</v>
      </c>
      <c r="J34" s="2"/>
      <c r="K34" s="1">
        <v>1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2</v>
      </c>
      <c r="W34" s="1">
        <v>2</v>
      </c>
      <c r="X34" s="2" t="s">
        <v>80</v>
      </c>
      <c r="Y34" s="2" t="s">
        <v>80</v>
      </c>
      <c r="Z34" s="1">
        <v>2</v>
      </c>
      <c r="AA34" s="2" t="s">
        <v>160</v>
      </c>
      <c r="AB34" s="2" t="s">
        <v>161</v>
      </c>
      <c r="AC34" s="2"/>
      <c r="AD34" s="2"/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</row>
    <row r="35" spans="1:39" x14ac:dyDescent="0.2">
      <c r="A35" s="1">
        <v>137</v>
      </c>
      <c r="B35" s="1">
        <v>2</v>
      </c>
      <c r="C35" s="8">
        <v>25</v>
      </c>
      <c r="D35" s="1">
        <v>1</v>
      </c>
      <c r="E35" s="1">
        <v>1</v>
      </c>
      <c r="F35" s="1">
        <v>1</v>
      </c>
      <c r="G35" s="1">
        <v>2</v>
      </c>
      <c r="H35" s="1">
        <v>1</v>
      </c>
      <c r="I35" s="2" t="s">
        <v>78</v>
      </c>
      <c r="J35" s="2"/>
      <c r="K35" s="1">
        <v>2</v>
      </c>
      <c r="L35" s="1">
        <v>5</v>
      </c>
      <c r="M35" s="1">
        <v>5</v>
      </c>
      <c r="N35" s="1">
        <v>4</v>
      </c>
      <c r="O35" s="1">
        <v>5</v>
      </c>
      <c r="P35" s="1">
        <v>4</v>
      </c>
      <c r="Q35" s="1">
        <v>4</v>
      </c>
      <c r="R35" s="1">
        <v>4</v>
      </c>
      <c r="S35" s="1">
        <v>4</v>
      </c>
      <c r="T35" s="1">
        <v>5</v>
      </c>
      <c r="U35" s="1">
        <v>4</v>
      </c>
      <c r="V35" s="1">
        <v>2</v>
      </c>
      <c r="W35" s="1">
        <v>2</v>
      </c>
      <c r="X35" s="2" t="s">
        <v>80</v>
      </c>
      <c r="Y35" s="2" t="s">
        <v>80</v>
      </c>
      <c r="Z35" s="1">
        <v>4</v>
      </c>
      <c r="AA35" s="2" t="s">
        <v>132</v>
      </c>
      <c r="AB35" s="2" t="s">
        <v>114</v>
      </c>
      <c r="AC35" s="2" t="s">
        <v>102</v>
      </c>
      <c r="AD35" s="2" t="s">
        <v>162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</row>
    <row r="36" spans="1:39" s="7" customFormat="1" x14ac:dyDescent="0.2">
      <c r="A36" s="7">
        <v>138</v>
      </c>
      <c r="B36" s="7">
        <v>1</v>
      </c>
      <c r="C36" s="9">
        <v>23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 t="s">
        <v>78</v>
      </c>
      <c r="K36" s="7">
        <v>1</v>
      </c>
      <c r="L36" s="7">
        <v>5</v>
      </c>
      <c r="M36" s="7">
        <v>5</v>
      </c>
      <c r="N36" s="7">
        <v>3</v>
      </c>
      <c r="O36" s="7">
        <v>4</v>
      </c>
      <c r="P36" s="7">
        <v>2</v>
      </c>
      <c r="Q36" s="7">
        <v>4</v>
      </c>
      <c r="R36" s="7">
        <v>4</v>
      </c>
      <c r="S36" s="7">
        <v>4</v>
      </c>
      <c r="T36" s="7">
        <v>5</v>
      </c>
      <c r="U36" s="7">
        <v>4</v>
      </c>
      <c r="V36" s="7">
        <v>2</v>
      </c>
      <c r="W36" s="7">
        <v>2</v>
      </c>
      <c r="X36" s="7" t="s">
        <v>97</v>
      </c>
      <c r="Y36" s="7" t="s">
        <v>80</v>
      </c>
      <c r="Z36" s="7">
        <v>4</v>
      </c>
      <c r="AA36" s="7" t="s">
        <v>163</v>
      </c>
      <c r="AB36" s="7" t="s">
        <v>164</v>
      </c>
      <c r="AC36" s="7" t="s">
        <v>165</v>
      </c>
      <c r="AD36" s="7" t="s">
        <v>166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</row>
    <row r="37" spans="1:39" x14ac:dyDescent="0.2">
      <c r="A37" s="1">
        <v>139</v>
      </c>
      <c r="B37" s="1">
        <v>2</v>
      </c>
      <c r="C37" s="8">
        <v>24</v>
      </c>
      <c r="D37" s="1">
        <v>1</v>
      </c>
      <c r="E37" s="1">
        <v>1</v>
      </c>
      <c r="F37" s="1">
        <v>1</v>
      </c>
      <c r="G37" s="1">
        <v>2</v>
      </c>
      <c r="H37" s="1">
        <v>1</v>
      </c>
      <c r="I37" s="2" t="s">
        <v>78</v>
      </c>
      <c r="J37" s="2"/>
      <c r="K37" s="1">
        <v>2</v>
      </c>
      <c r="L37" s="1">
        <v>5</v>
      </c>
      <c r="M37" s="1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2</v>
      </c>
      <c r="W37" s="1">
        <v>2</v>
      </c>
      <c r="X37" s="2" t="s">
        <v>79</v>
      </c>
      <c r="Y37" s="2" t="s">
        <v>80</v>
      </c>
      <c r="Z37" s="1">
        <v>2</v>
      </c>
      <c r="AA37" s="2" t="s">
        <v>95</v>
      </c>
      <c r="AB37" s="2" t="s">
        <v>167</v>
      </c>
      <c r="AC37" s="2"/>
      <c r="AD37" s="2"/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</row>
    <row r="38" spans="1:39" x14ac:dyDescent="0.2">
      <c r="A38" s="1">
        <v>124</v>
      </c>
      <c r="B38" s="1">
        <v>2</v>
      </c>
      <c r="C38" s="8">
        <v>24</v>
      </c>
      <c r="D38" s="1">
        <v>1</v>
      </c>
      <c r="E38" s="1">
        <v>1</v>
      </c>
      <c r="F38" s="1">
        <v>1</v>
      </c>
      <c r="G38" s="1">
        <v>2</v>
      </c>
      <c r="H38" s="1">
        <v>1</v>
      </c>
      <c r="I38" s="2" t="s">
        <v>78</v>
      </c>
      <c r="J38" s="2"/>
      <c r="K38" s="1">
        <v>2</v>
      </c>
      <c r="L38" s="1">
        <v>5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4</v>
      </c>
      <c r="S38" s="1">
        <v>4</v>
      </c>
      <c r="T38" s="1">
        <v>4</v>
      </c>
      <c r="U38" s="1">
        <v>4</v>
      </c>
      <c r="V38" s="1">
        <v>2</v>
      </c>
      <c r="W38" s="1">
        <v>2</v>
      </c>
      <c r="X38" s="2" t="s">
        <v>97</v>
      </c>
      <c r="Y38" s="2" t="s">
        <v>80</v>
      </c>
      <c r="Z38" s="1">
        <v>3</v>
      </c>
      <c r="AA38" s="2" t="s">
        <v>168</v>
      </c>
      <c r="AB38" s="2" t="s">
        <v>169</v>
      </c>
      <c r="AC38" s="2" t="s">
        <v>170</v>
      </c>
      <c r="AD38" s="2"/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</row>
    <row r="39" spans="1:39" x14ac:dyDescent="0.2">
      <c r="A39" s="1">
        <v>140</v>
      </c>
      <c r="B39" s="1">
        <v>1</v>
      </c>
      <c r="C39" s="8">
        <v>30</v>
      </c>
      <c r="D39" s="1">
        <v>1</v>
      </c>
      <c r="E39" s="1">
        <v>1</v>
      </c>
      <c r="F39" s="1">
        <v>1</v>
      </c>
      <c r="G39" s="1">
        <v>2</v>
      </c>
      <c r="H39" s="1">
        <v>1</v>
      </c>
      <c r="I39" s="2" t="s">
        <v>78</v>
      </c>
      <c r="J39" s="2"/>
      <c r="K39" s="1">
        <v>2</v>
      </c>
      <c r="L39" s="1">
        <v>5</v>
      </c>
      <c r="M39" s="1">
        <v>5</v>
      </c>
      <c r="N39" s="1">
        <v>5</v>
      </c>
      <c r="O39" s="1">
        <v>5</v>
      </c>
      <c r="P39" s="1">
        <v>5</v>
      </c>
      <c r="Q39" s="1">
        <v>5</v>
      </c>
      <c r="R39" s="1">
        <v>5</v>
      </c>
      <c r="S39" s="1">
        <v>5</v>
      </c>
      <c r="T39" s="1">
        <v>5</v>
      </c>
      <c r="U39" s="1">
        <v>5</v>
      </c>
      <c r="V39" s="1">
        <v>2</v>
      </c>
      <c r="W39" s="1">
        <v>2</v>
      </c>
      <c r="X39" s="2" t="s">
        <v>85</v>
      </c>
      <c r="Y39" s="2" t="s">
        <v>80</v>
      </c>
      <c r="Z39" s="1">
        <v>1</v>
      </c>
      <c r="AA39" s="2" t="s">
        <v>171</v>
      </c>
      <c r="AB39" s="2"/>
      <c r="AC39" s="2"/>
      <c r="AD39" s="2"/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</row>
    <row r="40" spans="1:39" x14ac:dyDescent="0.2">
      <c r="A40" s="1">
        <v>141</v>
      </c>
      <c r="B40" s="1">
        <v>2</v>
      </c>
      <c r="C40" s="8">
        <v>21</v>
      </c>
      <c r="D40" s="1">
        <v>1</v>
      </c>
      <c r="E40" s="1">
        <v>1</v>
      </c>
      <c r="F40" s="1">
        <v>1</v>
      </c>
      <c r="G40" s="1">
        <v>2</v>
      </c>
      <c r="H40" s="1">
        <v>1</v>
      </c>
      <c r="I40" s="2" t="s">
        <v>78</v>
      </c>
      <c r="J40" s="2"/>
      <c r="K40" s="1">
        <v>2</v>
      </c>
      <c r="L40" s="1">
        <v>4</v>
      </c>
      <c r="M40" s="1">
        <v>4</v>
      </c>
      <c r="N40" s="1">
        <v>4</v>
      </c>
      <c r="O40" s="1">
        <v>4</v>
      </c>
      <c r="P40" s="1">
        <v>3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2</v>
      </c>
      <c r="W40" s="1">
        <v>1</v>
      </c>
      <c r="X40" s="2" t="s">
        <v>85</v>
      </c>
      <c r="Y40" s="2" t="s">
        <v>80</v>
      </c>
      <c r="Z40" s="1">
        <v>2</v>
      </c>
      <c r="AA40" s="2" t="s">
        <v>172</v>
      </c>
      <c r="AB40" s="2" t="s">
        <v>173</v>
      </c>
      <c r="AC40" s="2"/>
      <c r="AD40" s="2"/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</row>
    <row r="41" spans="1:39" x14ac:dyDescent="0.2">
      <c r="A41" s="1">
        <v>142</v>
      </c>
      <c r="B41" s="1">
        <v>1</v>
      </c>
      <c r="C41" s="8">
        <v>27</v>
      </c>
      <c r="D41" s="1">
        <v>1</v>
      </c>
      <c r="E41" s="1">
        <v>1</v>
      </c>
      <c r="F41" s="1">
        <v>1</v>
      </c>
      <c r="G41" s="1">
        <v>2</v>
      </c>
      <c r="H41" s="1">
        <v>1</v>
      </c>
      <c r="I41" s="2" t="s">
        <v>78</v>
      </c>
      <c r="J41" s="2"/>
      <c r="K41" s="1">
        <v>2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2</v>
      </c>
      <c r="W41" s="1">
        <v>2</v>
      </c>
      <c r="X41" s="2" t="s">
        <v>79</v>
      </c>
      <c r="Y41" s="2" t="s">
        <v>80</v>
      </c>
      <c r="Z41" s="1">
        <v>3</v>
      </c>
      <c r="AA41" s="2" t="s">
        <v>174</v>
      </c>
      <c r="AB41" s="2" t="s">
        <v>175</v>
      </c>
      <c r="AC41" s="2" t="s">
        <v>176</v>
      </c>
      <c r="AD41" s="2"/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</row>
    <row r="42" spans="1:39" x14ac:dyDescent="0.2">
      <c r="A42" s="1">
        <v>143</v>
      </c>
      <c r="B42" s="1">
        <v>2</v>
      </c>
      <c r="C42" s="8">
        <v>23</v>
      </c>
      <c r="D42" s="1">
        <v>1</v>
      </c>
      <c r="E42" s="1">
        <v>1</v>
      </c>
      <c r="F42" s="1">
        <v>1</v>
      </c>
      <c r="G42" s="1">
        <v>2</v>
      </c>
      <c r="H42" s="1">
        <v>1</v>
      </c>
      <c r="I42" s="2" t="s">
        <v>78</v>
      </c>
      <c r="J42" s="2"/>
      <c r="K42" s="1">
        <v>2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1">
        <v>5</v>
      </c>
      <c r="V42" s="1">
        <v>1</v>
      </c>
      <c r="W42" s="1">
        <v>2</v>
      </c>
      <c r="X42" s="2" t="s">
        <v>79</v>
      </c>
      <c r="Y42" s="2" t="s">
        <v>80</v>
      </c>
      <c r="Z42" s="1">
        <v>3</v>
      </c>
      <c r="AA42" s="2" t="s">
        <v>116</v>
      </c>
      <c r="AB42" s="2" t="s">
        <v>114</v>
      </c>
      <c r="AC42" s="2" t="s">
        <v>177</v>
      </c>
      <c r="AD42" s="2"/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</row>
    <row r="43" spans="1:39" x14ac:dyDescent="0.2">
      <c r="A43" s="1">
        <v>145</v>
      </c>
      <c r="B43" s="1">
        <v>2</v>
      </c>
      <c r="C43" s="8">
        <v>23</v>
      </c>
      <c r="D43" s="1">
        <v>1</v>
      </c>
      <c r="E43" s="1">
        <v>1</v>
      </c>
      <c r="F43" s="1">
        <v>1</v>
      </c>
      <c r="G43" s="1">
        <v>2</v>
      </c>
      <c r="H43" s="1">
        <v>1</v>
      </c>
      <c r="I43" s="2" t="s">
        <v>78</v>
      </c>
      <c r="J43" s="2"/>
      <c r="K43" s="1">
        <v>1</v>
      </c>
      <c r="L43" s="1">
        <v>5</v>
      </c>
      <c r="M43" s="1">
        <v>5</v>
      </c>
      <c r="N43" s="1">
        <v>4</v>
      </c>
      <c r="O43" s="1">
        <v>5</v>
      </c>
      <c r="P43" s="1">
        <v>3</v>
      </c>
      <c r="Q43" s="1">
        <v>3</v>
      </c>
      <c r="R43" s="1">
        <v>4</v>
      </c>
      <c r="S43" s="1">
        <v>3</v>
      </c>
      <c r="T43" s="1">
        <v>5</v>
      </c>
      <c r="U43" s="1">
        <v>3</v>
      </c>
      <c r="V43" s="1">
        <v>2</v>
      </c>
      <c r="W43" s="1">
        <v>2</v>
      </c>
      <c r="X43" s="2" t="s">
        <v>97</v>
      </c>
      <c r="Y43" s="2" t="s">
        <v>80</v>
      </c>
      <c r="Z43" s="1">
        <v>3</v>
      </c>
      <c r="AA43" s="2" t="s">
        <v>181</v>
      </c>
      <c r="AB43" s="2" t="s">
        <v>95</v>
      </c>
      <c r="AC43" s="2" t="s">
        <v>182</v>
      </c>
      <c r="AD43" s="2"/>
      <c r="AE43" s="1">
        <v>1</v>
      </c>
      <c r="AF43" s="1">
        <v>1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1</v>
      </c>
      <c r="AM43" s="1">
        <v>2</v>
      </c>
    </row>
    <row r="44" spans="1:39" x14ac:dyDescent="0.2">
      <c r="A44" s="1">
        <v>146</v>
      </c>
      <c r="B44" s="1">
        <v>1</v>
      </c>
      <c r="C44" s="8">
        <v>20</v>
      </c>
      <c r="D44" s="1">
        <v>1</v>
      </c>
      <c r="E44" s="1">
        <v>1</v>
      </c>
      <c r="F44" s="1">
        <v>1</v>
      </c>
      <c r="G44" s="1">
        <v>2</v>
      </c>
      <c r="H44" s="1">
        <v>1</v>
      </c>
      <c r="I44" s="2" t="s">
        <v>78</v>
      </c>
      <c r="J44" s="2"/>
      <c r="K44" s="1">
        <v>2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5</v>
      </c>
      <c r="S44" s="1">
        <v>5</v>
      </c>
      <c r="T44" s="1">
        <v>5</v>
      </c>
      <c r="U44" s="1">
        <v>5</v>
      </c>
      <c r="V44" s="1">
        <v>1</v>
      </c>
      <c r="W44" s="1">
        <v>2</v>
      </c>
      <c r="X44" s="2" t="s">
        <v>97</v>
      </c>
      <c r="Y44" s="2" t="s">
        <v>80</v>
      </c>
      <c r="Z44" s="1">
        <v>1</v>
      </c>
      <c r="AA44" s="2" t="s">
        <v>88</v>
      </c>
      <c r="AB44" s="2"/>
      <c r="AC44" s="2"/>
      <c r="AD44" s="2"/>
      <c r="AE44" s="1">
        <v>1</v>
      </c>
      <c r="AF44" s="1">
        <v>1</v>
      </c>
      <c r="AG44" s="1">
        <v>2</v>
      </c>
      <c r="AH44" s="1">
        <v>2</v>
      </c>
      <c r="AI44" s="1">
        <v>2</v>
      </c>
      <c r="AJ44" s="1">
        <v>2</v>
      </c>
      <c r="AK44" s="1">
        <v>2</v>
      </c>
      <c r="AL44" s="1">
        <v>1</v>
      </c>
      <c r="AM44" s="1">
        <v>2</v>
      </c>
    </row>
    <row r="45" spans="1:39" x14ac:dyDescent="0.2">
      <c r="A45" s="1">
        <v>147</v>
      </c>
      <c r="B45" s="1">
        <v>2</v>
      </c>
      <c r="C45" s="8">
        <v>31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2" t="s">
        <v>78</v>
      </c>
      <c r="J45" s="2"/>
      <c r="K45" s="1">
        <v>2</v>
      </c>
      <c r="L45" s="1">
        <v>5</v>
      </c>
      <c r="M45" s="1">
        <v>5</v>
      </c>
      <c r="N45" s="1">
        <v>5</v>
      </c>
      <c r="O45" s="1">
        <v>5</v>
      </c>
      <c r="P45" s="1">
        <v>4</v>
      </c>
      <c r="Q45" s="1">
        <v>4</v>
      </c>
      <c r="R45" s="1">
        <v>5</v>
      </c>
      <c r="S45" s="1">
        <v>5</v>
      </c>
      <c r="T45" s="1">
        <v>5</v>
      </c>
      <c r="U45" s="1">
        <v>5</v>
      </c>
      <c r="V45" s="1">
        <v>1</v>
      </c>
      <c r="W45" s="1">
        <v>2</v>
      </c>
      <c r="X45" s="2" t="s">
        <v>79</v>
      </c>
      <c r="Y45" s="2" t="s">
        <v>80</v>
      </c>
      <c r="Z45" s="1">
        <v>2</v>
      </c>
      <c r="AA45" s="2" t="s">
        <v>114</v>
      </c>
      <c r="AB45" s="2" t="s">
        <v>184</v>
      </c>
      <c r="AC45" s="2"/>
      <c r="AD45" s="2"/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</row>
    <row r="46" spans="1:39" x14ac:dyDescent="0.2">
      <c r="A46" s="1">
        <v>148</v>
      </c>
      <c r="B46" s="1">
        <v>2</v>
      </c>
      <c r="C46" s="8">
        <v>22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2" t="s">
        <v>78</v>
      </c>
      <c r="J46" s="2"/>
      <c r="K46" s="1">
        <v>2</v>
      </c>
      <c r="L46" s="1">
        <v>5</v>
      </c>
      <c r="M46" s="1">
        <v>5</v>
      </c>
      <c r="N46" s="1">
        <v>5</v>
      </c>
      <c r="O46" s="1">
        <v>5</v>
      </c>
      <c r="P46" s="1">
        <v>5</v>
      </c>
      <c r="Q46" s="1">
        <v>5</v>
      </c>
      <c r="R46" s="1">
        <v>5</v>
      </c>
      <c r="S46" s="1">
        <v>4</v>
      </c>
      <c r="T46" s="1">
        <v>5</v>
      </c>
      <c r="U46" s="1">
        <v>5</v>
      </c>
      <c r="V46" s="1">
        <v>2</v>
      </c>
      <c r="W46" s="1">
        <v>2</v>
      </c>
      <c r="X46" s="2" t="s">
        <v>97</v>
      </c>
      <c r="Y46" s="2" t="s">
        <v>80</v>
      </c>
      <c r="Z46" s="1">
        <v>2</v>
      </c>
      <c r="AA46" s="2" t="s">
        <v>116</v>
      </c>
      <c r="AB46" s="2" t="s">
        <v>95</v>
      </c>
      <c r="AC46" s="2"/>
      <c r="AD46" s="2"/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</row>
    <row r="47" spans="1:39" x14ac:dyDescent="0.2">
      <c r="A47" s="1">
        <v>149</v>
      </c>
      <c r="B47" s="1">
        <v>2</v>
      </c>
      <c r="C47" s="8">
        <v>19</v>
      </c>
      <c r="D47" s="1">
        <v>1</v>
      </c>
      <c r="E47" s="1">
        <v>1</v>
      </c>
      <c r="F47" s="1">
        <v>1</v>
      </c>
      <c r="G47" s="1">
        <v>2</v>
      </c>
      <c r="H47" s="1">
        <v>1</v>
      </c>
      <c r="I47" s="2" t="s">
        <v>78</v>
      </c>
      <c r="J47" s="2"/>
      <c r="K47" s="1">
        <v>1</v>
      </c>
      <c r="L47" s="1">
        <v>5</v>
      </c>
      <c r="M47" s="1">
        <v>5</v>
      </c>
      <c r="N47" s="1">
        <v>4</v>
      </c>
      <c r="O47" s="1">
        <v>3</v>
      </c>
      <c r="P47" s="1">
        <v>4</v>
      </c>
      <c r="Q47" s="1">
        <v>4</v>
      </c>
      <c r="R47" s="1">
        <v>4</v>
      </c>
      <c r="S47" s="1">
        <v>4</v>
      </c>
      <c r="T47" s="1">
        <v>3</v>
      </c>
      <c r="U47" s="1">
        <v>3</v>
      </c>
      <c r="V47" s="1">
        <v>2</v>
      </c>
      <c r="W47" s="1">
        <v>2</v>
      </c>
      <c r="X47" s="2" t="s">
        <v>97</v>
      </c>
      <c r="Y47" s="2" t="s">
        <v>80</v>
      </c>
      <c r="Z47" s="1">
        <v>3</v>
      </c>
      <c r="AA47" s="2" t="s">
        <v>185</v>
      </c>
      <c r="AB47" s="2" t="s">
        <v>186</v>
      </c>
      <c r="AC47" s="2" t="s">
        <v>160</v>
      </c>
      <c r="AD47" s="2"/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1</v>
      </c>
      <c r="AM47" s="1">
        <v>1</v>
      </c>
    </row>
    <row r="48" spans="1:39" s="7" customFormat="1" x14ac:dyDescent="0.2">
      <c r="A48" s="7">
        <v>150</v>
      </c>
      <c r="B48" s="7">
        <v>2</v>
      </c>
      <c r="C48" s="9">
        <v>22</v>
      </c>
      <c r="D48" s="7">
        <v>1</v>
      </c>
      <c r="E48" s="7">
        <v>1</v>
      </c>
      <c r="F48" s="7">
        <v>1</v>
      </c>
      <c r="G48" s="7">
        <v>2</v>
      </c>
      <c r="H48" s="7">
        <v>1</v>
      </c>
      <c r="I48" s="7" t="s">
        <v>187</v>
      </c>
      <c r="K48" s="7">
        <v>1</v>
      </c>
      <c r="L48" s="7">
        <v>4</v>
      </c>
      <c r="M48" s="7">
        <v>4</v>
      </c>
      <c r="N48" s="7">
        <v>4</v>
      </c>
      <c r="O48" s="7">
        <v>4</v>
      </c>
      <c r="P48" s="7">
        <v>4</v>
      </c>
      <c r="Q48" s="7">
        <v>4</v>
      </c>
      <c r="R48" s="7">
        <v>3</v>
      </c>
      <c r="S48" s="7">
        <v>4</v>
      </c>
      <c r="T48" s="7">
        <v>4</v>
      </c>
      <c r="U48" s="7">
        <v>4</v>
      </c>
      <c r="V48" s="7">
        <v>2</v>
      </c>
      <c r="W48" s="7">
        <v>2</v>
      </c>
      <c r="X48" s="7" t="s">
        <v>97</v>
      </c>
      <c r="Y48" s="7" t="s">
        <v>80</v>
      </c>
      <c r="Z48" s="7">
        <v>3</v>
      </c>
      <c r="AA48" s="7" t="s">
        <v>188</v>
      </c>
      <c r="AB48" s="7" t="s">
        <v>189</v>
      </c>
      <c r="AC48" s="7" t="s">
        <v>190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</row>
    <row r="49" spans="1:39" x14ac:dyDescent="0.2">
      <c r="A49" s="1">
        <v>151</v>
      </c>
      <c r="B49" s="1">
        <v>2</v>
      </c>
      <c r="C49" s="8">
        <v>20</v>
      </c>
      <c r="D49" s="1">
        <v>1</v>
      </c>
      <c r="E49" s="1">
        <v>1</v>
      </c>
      <c r="F49" s="1">
        <v>1</v>
      </c>
      <c r="G49" s="1">
        <v>2</v>
      </c>
      <c r="H49" s="1">
        <v>1</v>
      </c>
      <c r="I49" s="2" t="s">
        <v>78</v>
      </c>
      <c r="J49" s="2"/>
      <c r="K49" s="1">
        <v>2</v>
      </c>
      <c r="L49" s="1">
        <v>5</v>
      </c>
      <c r="M49" s="1">
        <v>5</v>
      </c>
      <c r="N49" s="1">
        <v>5</v>
      </c>
      <c r="O49" s="1">
        <v>5</v>
      </c>
      <c r="P49" s="1">
        <v>5</v>
      </c>
      <c r="Q49" s="1">
        <v>4</v>
      </c>
      <c r="R49" s="1">
        <v>4</v>
      </c>
      <c r="S49" s="1">
        <v>2</v>
      </c>
      <c r="T49" s="1">
        <v>5</v>
      </c>
      <c r="U49" s="1">
        <v>4</v>
      </c>
      <c r="V49" s="1">
        <v>2</v>
      </c>
      <c r="W49" s="1">
        <v>2</v>
      </c>
      <c r="X49" s="2" t="s">
        <v>97</v>
      </c>
      <c r="Y49" s="2" t="s">
        <v>80</v>
      </c>
      <c r="Z49" s="1">
        <v>4</v>
      </c>
      <c r="AA49" s="2" t="s">
        <v>191</v>
      </c>
      <c r="AB49" s="2" t="s">
        <v>114</v>
      </c>
      <c r="AC49" s="2" t="s">
        <v>102</v>
      </c>
      <c r="AD49" s="2" t="s">
        <v>148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</row>
    <row r="50" spans="1:39" x14ac:dyDescent="0.2">
      <c r="A50" s="1">
        <v>152</v>
      </c>
      <c r="B50" s="1">
        <v>1</v>
      </c>
      <c r="C50" s="8">
        <v>25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2" t="s">
        <v>78</v>
      </c>
      <c r="J50" s="2"/>
      <c r="K50" s="1">
        <v>2</v>
      </c>
      <c r="L50" s="1">
        <v>5</v>
      </c>
      <c r="M50" s="1">
        <v>5</v>
      </c>
      <c r="N50" s="1">
        <v>5</v>
      </c>
      <c r="O50" s="1">
        <v>5</v>
      </c>
      <c r="P50" s="1">
        <v>5</v>
      </c>
      <c r="Q50" s="1">
        <v>5</v>
      </c>
      <c r="R50" s="1">
        <v>5</v>
      </c>
      <c r="S50" s="1">
        <v>5</v>
      </c>
      <c r="T50" s="1">
        <v>5</v>
      </c>
      <c r="U50" s="1">
        <v>5</v>
      </c>
      <c r="V50" s="1">
        <v>2</v>
      </c>
      <c r="W50" s="1">
        <v>2</v>
      </c>
      <c r="X50" s="2" t="s">
        <v>79</v>
      </c>
      <c r="Y50" s="2" t="s">
        <v>80</v>
      </c>
      <c r="Z50" s="1">
        <v>3</v>
      </c>
      <c r="AA50" s="2" t="s">
        <v>86</v>
      </c>
      <c r="AB50" s="2" t="s">
        <v>147</v>
      </c>
      <c r="AC50" s="2" t="s">
        <v>192</v>
      </c>
      <c r="AD50" s="2"/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</row>
    <row r="51" spans="1:39" x14ac:dyDescent="0.2">
      <c r="A51" s="1">
        <v>153</v>
      </c>
      <c r="B51" s="1">
        <v>2</v>
      </c>
      <c r="C51" s="8">
        <v>30</v>
      </c>
      <c r="D51" s="1">
        <v>1</v>
      </c>
      <c r="E51" s="1">
        <v>1</v>
      </c>
      <c r="F51" s="1">
        <v>1</v>
      </c>
      <c r="G51" s="1">
        <v>2</v>
      </c>
      <c r="H51" s="1">
        <v>1</v>
      </c>
      <c r="I51" s="2" t="s">
        <v>78</v>
      </c>
      <c r="J51" s="2"/>
      <c r="K51" s="1">
        <v>2</v>
      </c>
      <c r="L51" s="1">
        <v>5</v>
      </c>
      <c r="M51" s="1">
        <v>5</v>
      </c>
      <c r="N51" s="1">
        <v>4</v>
      </c>
      <c r="O51" s="1">
        <v>4</v>
      </c>
      <c r="P51" s="1">
        <v>3</v>
      </c>
      <c r="Q51" s="1">
        <v>4</v>
      </c>
      <c r="R51" s="1">
        <v>5</v>
      </c>
      <c r="S51" s="1">
        <v>4</v>
      </c>
      <c r="T51" s="1">
        <v>5</v>
      </c>
      <c r="U51" s="1">
        <v>4</v>
      </c>
      <c r="V51" s="1">
        <v>2</v>
      </c>
      <c r="W51" s="1">
        <v>2</v>
      </c>
      <c r="X51" s="2" t="s">
        <v>97</v>
      </c>
      <c r="Y51" s="2" t="s">
        <v>80</v>
      </c>
      <c r="Z51" s="1">
        <v>2</v>
      </c>
      <c r="AA51" s="2" t="s">
        <v>116</v>
      </c>
      <c r="AB51" s="2" t="s">
        <v>88</v>
      </c>
      <c r="AC51" s="2"/>
      <c r="AD51" s="2"/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</row>
    <row r="52" spans="1:39" x14ac:dyDescent="0.2">
      <c r="A52" s="1">
        <v>154</v>
      </c>
      <c r="B52" s="1">
        <v>1</v>
      </c>
      <c r="C52" s="8">
        <v>23</v>
      </c>
      <c r="D52" s="1">
        <v>1</v>
      </c>
      <c r="E52" s="1">
        <v>1</v>
      </c>
      <c r="F52" s="1">
        <v>1</v>
      </c>
      <c r="G52" s="1">
        <v>2</v>
      </c>
      <c r="H52" s="1">
        <v>1</v>
      </c>
      <c r="I52" s="2" t="s">
        <v>78</v>
      </c>
      <c r="J52" s="2"/>
      <c r="K52" s="1">
        <v>2</v>
      </c>
      <c r="L52" s="1">
        <v>5</v>
      </c>
      <c r="M52" s="1">
        <v>5</v>
      </c>
      <c r="N52" s="1">
        <v>5</v>
      </c>
      <c r="O52" s="1">
        <v>4</v>
      </c>
      <c r="P52" s="1">
        <v>5</v>
      </c>
      <c r="Q52" s="1">
        <v>5</v>
      </c>
      <c r="R52" s="1">
        <v>1</v>
      </c>
      <c r="S52" s="1">
        <v>5</v>
      </c>
      <c r="T52" s="1">
        <v>3</v>
      </c>
      <c r="U52" s="1">
        <v>2</v>
      </c>
      <c r="V52" s="1">
        <v>2</v>
      </c>
      <c r="W52" s="1">
        <v>2</v>
      </c>
      <c r="X52" s="2" t="s">
        <v>97</v>
      </c>
      <c r="Y52" s="2" t="s">
        <v>80</v>
      </c>
      <c r="Z52" s="1">
        <v>2</v>
      </c>
      <c r="AA52" s="2" t="s">
        <v>88</v>
      </c>
      <c r="AB52" s="2" t="s">
        <v>102</v>
      </c>
      <c r="AC52" s="2"/>
      <c r="AD52" s="2"/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</row>
    <row r="53" spans="1:39" x14ac:dyDescent="0.2">
      <c r="A53" s="1">
        <v>155</v>
      </c>
      <c r="B53" s="1">
        <v>2</v>
      </c>
      <c r="C53" s="8">
        <v>20</v>
      </c>
      <c r="D53" s="1">
        <v>1</v>
      </c>
      <c r="E53" s="1">
        <v>1</v>
      </c>
      <c r="F53" s="1">
        <v>1</v>
      </c>
      <c r="G53" s="1">
        <v>2</v>
      </c>
      <c r="H53" s="1">
        <v>1</v>
      </c>
      <c r="I53" s="2" t="s">
        <v>78</v>
      </c>
      <c r="J53" s="2"/>
      <c r="K53" s="1">
        <v>2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2</v>
      </c>
      <c r="V53" s="1">
        <v>1</v>
      </c>
      <c r="W53" s="1">
        <v>2</v>
      </c>
      <c r="X53" s="2" t="s">
        <v>97</v>
      </c>
      <c r="Y53" s="2" t="s">
        <v>80</v>
      </c>
      <c r="Z53" s="1">
        <v>2</v>
      </c>
      <c r="AA53" s="2" t="s">
        <v>113</v>
      </c>
      <c r="AB53" s="2" t="s">
        <v>193</v>
      </c>
      <c r="AC53" s="2"/>
      <c r="AD53" s="2"/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</row>
    <row r="54" spans="1:39" x14ac:dyDescent="0.2">
      <c r="A54" s="1">
        <v>156</v>
      </c>
      <c r="B54" s="1">
        <v>2</v>
      </c>
      <c r="C54" s="8">
        <v>20</v>
      </c>
      <c r="D54" s="1">
        <v>1</v>
      </c>
      <c r="E54" s="1">
        <v>1</v>
      </c>
      <c r="F54" s="1">
        <v>1</v>
      </c>
      <c r="G54" s="1">
        <v>2</v>
      </c>
      <c r="H54" s="1">
        <v>1</v>
      </c>
      <c r="I54" s="2" t="s">
        <v>78</v>
      </c>
      <c r="J54" s="2"/>
      <c r="K54" s="1">
        <v>2</v>
      </c>
      <c r="L54" s="1">
        <v>5</v>
      </c>
      <c r="M54" s="1">
        <v>5</v>
      </c>
      <c r="N54" s="1">
        <v>4</v>
      </c>
      <c r="O54" s="1">
        <v>5</v>
      </c>
      <c r="P54" s="1">
        <v>4</v>
      </c>
      <c r="Q54" s="1">
        <v>5</v>
      </c>
      <c r="R54" s="1">
        <v>5</v>
      </c>
      <c r="S54" s="1">
        <v>5</v>
      </c>
      <c r="T54" s="1">
        <v>5</v>
      </c>
      <c r="U54" s="1">
        <v>4</v>
      </c>
      <c r="V54" s="1">
        <v>2</v>
      </c>
      <c r="W54" s="1">
        <v>2</v>
      </c>
      <c r="X54" s="2" t="s">
        <v>85</v>
      </c>
      <c r="Y54" s="2" t="s">
        <v>80</v>
      </c>
      <c r="Z54" s="1">
        <v>3</v>
      </c>
      <c r="AA54" s="2" t="s">
        <v>194</v>
      </c>
      <c r="AB54" s="2" t="s">
        <v>114</v>
      </c>
      <c r="AC54" s="2" t="s">
        <v>195</v>
      </c>
      <c r="AD54" s="2"/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</row>
    <row r="56" spans="1:39" x14ac:dyDescent="0.2">
      <c r="B56" s="3">
        <f>COUNTIF(B3:B54,"1")</f>
        <v>11</v>
      </c>
      <c r="C56" s="10">
        <f>AVERAGE(C3:C54)</f>
        <v>22.384615384615383</v>
      </c>
    </row>
    <row r="57" spans="1:39" x14ac:dyDescent="0.2">
      <c r="B57" s="3">
        <f>COUNTIF(B3:B54,"2")</f>
        <v>40</v>
      </c>
      <c r="C57" s="10">
        <f>_xlfn.STDEV.P(C3:C54)</f>
        <v>3.1080159770518341</v>
      </c>
    </row>
    <row r="58" spans="1:39" x14ac:dyDescent="0.2">
      <c r="B58" s="3">
        <f>COUNTIF(B3:B54,"3")</f>
        <v>0</v>
      </c>
    </row>
    <row r="59" spans="1:39" x14ac:dyDescent="0.2">
      <c r="B59" s="3">
        <f>COUNTIF(B3:B54,"4")</f>
        <v>1</v>
      </c>
    </row>
    <row r="61" spans="1:39" x14ac:dyDescent="0.2">
      <c r="B61" s="3">
        <f>SUM(B56:B59)</f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LEALCO-EEGdem</vt:lpstr>
      <vt:lpstr>SELECTION 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Isabella BOUX</cp:lastModifiedBy>
  <cp:revision>0</cp:revision>
  <dcterms:created xsi:type="dcterms:W3CDTF">2025-06-04T12:52:12Z</dcterms:created>
  <dcterms:modified xsi:type="dcterms:W3CDTF">2025-06-25T15:47:08Z</dcterms:modified>
</cp:coreProperties>
</file>