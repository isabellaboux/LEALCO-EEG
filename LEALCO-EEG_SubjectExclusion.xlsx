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I:\2024_Boux_LexicalAlignmentInConversation\LEALCO-EEG\B_analysis\C_statistical_evaluation\"/>
    </mc:Choice>
  </mc:AlternateContent>
  <xr:revisionPtr revIDLastSave="0" documentId="13_ncr:1_{55AD7AE7-876B-44BF-BC4A-6E2E14EF1972}" xr6:coauthVersionLast="36" xr6:coauthVersionMax="36" xr10:uidLastSave="{00000000-0000-0000-0000-000000000000}"/>
  <bookViews>
    <workbookView xWindow="0" yWindow="0" windowWidth="12345" windowHeight="9030" xr2:uid="{00000000-000D-0000-FFFF-FFFF00000000}"/>
  </bookViews>
  <sheets>
    <sheet name="Tabelle1" sheetId="1" r:id="rId1"/>
    <sheet name="Tabelle2" sheetId="2" r:id="rId2"/>
    <sheet name="Summary all" sheetId="3" r:id="rId3"/>
    <sheet name="Summary included beh" sheetId="4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3" i="4" l="1"/>
  <c r="B52" i="4"/>
  <c r="B51" i="4"/>
  <c r="B50" i="4"/>
  <c r="D48" i="4"/>
  <c r="C48" i="4"/>
  <c r="D47" i="4"/>
  <c r="C47" i="4"/>
  <c r="B58" i="3"/>
  <c r="B57" i="3"/>
  <c r="B56" i="3"/>
  <c r="B55" i="3"/>
  <c r="D53" i="3"/>
  <c r="C53" i="3"/>
  <c r="D52" i="3"/>
  <c r="C52" i="3"/>
  <c r="AL7" i="2"/>
  <c r="AM7" i="2"/>
  <c r="AN7" i="2" s="1"/>
  <c r="AL8" i="2"/>
  <c r="AM8" i="2"/>
  <c r="AN8" i="2"/>
  <c r="AL9" i="2"/>
  <c r="AM9" i="2"/>
  <c r="AN9" i="2" s="1"/>
  <c r="AL10" i="2"/>
  <c r="AM10" i="2"/>
  <c r="AN10" i="2"/>
  <c r="AL11" i="2"/>
  <c r="AM11" i="2"/>
  <c r="AN11" i="2"/>
  <c r="AL12" i="2"/>
  <c r="AM12" i="2"/>
  <c r="AN12" i="2" s="1"/>
  <c r="AL13" i="2"/>
  <c r="AM13" i="2"/>
  <c r="AN13" i="2"/>
  <c r="AL14" i="2"/>
  <c r="AM14" i="2"/>
  <c r="AN14" i="2"/>
  <c r="AL15" i="2"/>
  <c r="AM15" i="2"/>
  <c r="AN15" i="2" s="1"/>
  <c r="AL16" i="2"/>
  <c r="AM16" i="2"/>
  <c r="AN16" i="2"/>
  <c r="AL17" i="2"/>
  <c r="AM17" i="2"/>
  <c r="AN17" i="2"/>
  <c r="AL18" i="2"/>
  <c r="AM18" i="2"/>
  <c r="AN18" i="2"/>
  <c r="AL19" i="2"/>
  <c r="AM19" i="2"/>
  <c r="AN19" i="2"/>
  <c r="AL20" i="2"/>
  <c r="AM20" i="2"/>
  <c r="AN20" i="2" s="1"/>
  <c r="AL21" i="2"/>
  <c r="AM21" i="2"/>
  <c r="AN21" i="2"/>
  <c r="AL22" i="2"/>
  <c r="AM22" i="2"/>
  <c r="AN22" i="2"/>
  <c r="AL23" i="2"/>
  <c r="AM23" i="2"/>
  <c r="AN23" i="2" s="1"/>
  <c r="AL24" i="2"/>
  <c r="AM24" i="2"/>
  <c r="AN24" i="2"/>
  <c r="AL25" i="2"/>
  <c r="AM25" i="2"/>
  <c r="AN25" i="2"/>
  <c r="AL26" i="2"/>
  <c r="AM26" i="2"/>
  <c r="AN26" i="2"/>
  <c r="AL27" i="2"/>
  <c r="AM27" i="2"/>
  <c r="AN27" i="2"/>
  <c r="AL28" i="2"/>
  <c r="AM28" i="2"/>
  <c r="AN28" i="2" s="1"/>
  <c r="AL29" i="2"/>
  <c r="AM29" i="2"/>
  <c r="AN29" i="2"/>
  <c r="AL30" i="2"/>
  <c r="AM30" i="2"/>
  <c r="AN30" i="2"/>
  <c r="AL31" i="2"/>
  <c r="AM31" i="2"/>
  <c r="AN31" i="2" s="1"/>
  <c r="AL32" i="2"/>
  <c r="AM32" i="2"/>
  <c r="AN32" i="2"/>
  <c r="AL33" i="2"/>
  <c r="AM33" i="2"/>
  <c r="AN33" i="2"/>
  <c r="AL34" i="2"/>
  <c r="AM34" i="2"/>
  <c r="AN34" i="2"/>
  <c r="AL35" i="2"/>
  <c r="AM35" i="2"/>
  <c r="AN35" i="2"/>
  <c r="AL36" i="2"/>
  <c r="AM36" i="2"/>
  <c r="AN36" i="2" s="1"/>
  <c r="AL37" i="2"/>
  <c r="AM37" i="2"/>
  <c r="AN37" i="2"/>
  <c r="AL38" i="2"/>
  <c r="AM38" i="2"/>
  <c r="AN38" i="2"/>
  <c r="AL39" i="2"/>
  <c r="AM39" i="2"/>
  <c r="AN39" i="2" s="1"/>
  <c r="AL40" i="2"/>
  <c r="AM40" i="2"/>
  <c r="AN40" i="2"/>
  <c r="AL41" i="2"/>
  <c r="AM41" i="2"/>
  <c r="AN41" i="2"/>
  <c r="AL42" i="2"/>
  <c r="AM42" i="2"/>
  <c r="AN42" i="2"/>
  <c r="AL43" i="2"/>
  <c r="AM43" i="2"/>
  <c r="AN43" i="2"/>
  <c r="AL44" i="2"/>
  <c r="AM44" i="2"/>
  <c r="AN44" i="2" s="1"/>
  <c r="AL45" i="2"/>
  <c r="AM45" i="2"/>
  <c r="AN45" i="2"/>
  <c r="AL46" i="2"/>
  <c r="AM46" i="2"/>
  <c r="AN46" i="2"/>
  <c r="AL47" i="2"/>
  <c r="AM47" i="2"/>
  <c r="AN47" i="2" s="1"/>
  <c r="AL48" i="2"/>
  <c r="AM48" i="2"/>
  <c r="AN48" i="2"/>
  <c r="AL49" i="2"/>
  <c r="AM49" i="2"/>
  <c r="AN49" i="2"/>
  <c r="AL50" i="2"/>
  <c r="AM50" i="2"/>
  <c r="AN50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L4" i="2"/>
  <c r="AM4" i="2"/>
  <c r="AN4" i="2" s="1"/>
  <c r="AL5" i="2"/>
  <c r="AM5" i="2"/>
  <c r="AN5" i="2"/>
  <c r="AL6" i="2"/>
  <c r="AM6" i="2"/>
  <c r="AN6" i="2"/>
  <c r="AN3" i="2"/>
  <c r="Q5" i="2"/>
  <c r="R5" i="2"/>
  <c r="S5" i="2"/>
  <c r="T5" i="2"/>
  <c r="U5" i="2"/>
  <c r="V5" i="2"/>
  <c r="W5" i="2"/>
  <c r="X5" i="2"/>
  <c r="Y5" i="2"/>
  <c r="Z5" i="2"/>
  <c r="Q6" i="2"/>
  <c r="R6" i="2"/>
  <c r="S6" i="2"/>
  <c r="T6" i="2"/>
  <c r="U6" i="2"/>
  <c r="V6" i="2"/>
  <c r="W6" i="2"/>
  <c r="X6" i="2"/>
  <c r="Y6" i="2"/>
  <c r="Z6" i="2"/>
  <c r="R4" i="2"/>
  <c r="Q4" i="2"/>
  <c r="S4" i="2"/>
  <c r="T4" i="2"/>
  <c r="U4" i="2"/>
  <c r="V4" i="2"/>
  <c r="W4" i="2"/>
  <c r="X4" i="2"/>
  <c r="Y4" i="2"/>
  <c r="Z4" i="2"/>
  <c r="R3" i="2"/>
  <c r="S3" i="2"/>
  <c r="T3" i="2"/>
  <c r="U3" i="2"/>
  <c r="V3" i="2"/>
  <c r="W3" i="2"/>
  <c r="X3" i="2"/>
  <c r="Y3" i="2"/>
  <c r="Z3" i="2"/>
  <c r="Q3" i="2"/>
  <c r="AL3" i="2" s="1"/>
  <c r="AA3" i="2"/>
  <c r="AA6" i="2"/>
  <c r="AB6" i="2"/>
  <c r="AC6" i="2"/>
  <c r="AD6" i="2"/>
  <c r="AE6" i="2"/>
  <c r="AF6" i="2"/>
  <c r="AG6" i="2"/>
  <c r="AH6" i="2"/>
  <c r="AI6" i="2"/>
  <c r="AJ6" i="2"/>
  <c r="AA5" i="2"/>
  <c r="AB5" i="2"/>
  <c r="AC5" i="2"/>
  <c r="AD5" i="2"/>
  <c r="AE5" i="2"/>
  <c r="AF5" i="2"/>
  <c r="AG5" i="2"/>
  <c r="AH5" i="2"/>
  <c r="AI5" i="2"/>
  <c r="AJ5" i="2"/>
  <c r="AA4" i="2"/>
  <c r="AB4" i="2"/>
  <c r="AC4" i="2"/>
  <c r="AD4" i="2"/>
  <c r="AE4" i="2"/>
  <c r="AF4" i="2"/>
  <c r="AG4" i="2"/>
  <c r="AH4" i="2"/>
  <c r="AI4" i="2"/>
  <c r="AJ4" i="2"/>
  <c r="AB3" i="2"/>
  <c r="AC3" i="2"/>
  <c r="AD3" i="2"/>
  <c r="AE3" i="2"/>
  <c r="AF3" i="2"/>
  <c r="AG3" i="2"/>
  <c r="AH3" i="2"/>
  <c r="AI3" i="2"/>
  <c r="AJ3" i="2"/>
  <c r="AM3" i="2" l="1"/>
</calcChain>
</file>

<file path=xl/sharedStrings.xml><?xml version="1.0" encoding="utf-8"?>
<sst xmlns="http://schemas.openxmlformats.org/spreadsheetml/2006/main" count="400" uniqueCount="111">
  <si>
    <t>LEALCO-EEG_101</t>
  </si>
  <si>
    <t>LEALCO-EEG_102</t>
  </si>
  <si>
    <t>LEALCO-EEG_103</t>
  </si>
  <si>
    <t>LEALCO-EEG_104</t>
  </si>
  <si>
    <t>LEALCO-EEG_105</t>
  </si>
  <si>
    <t>LEALCO-EEG_106</t>
  </si>
  <si>
    <t>LEALCO-EEG_107</t>
  </si>
  <si>
    <t>LEALCO-EEG_108</t>
  </si>
  <si>
    <t>LEALCO-EEG_109</t>
  </si>
  <si>
    <t>LEALCO-EEG_110</t>
  </si>
  <si>
    <t>LEALCO-EEG_111</t>
  </si>
  <si>
    <t>LEALCO-EEG_112</t>
  </si>
  <si>
    <t>LEALCO-EEG_113</t>
  </si>
  <si>
    <t>LEALCO-EEG_114</t>
  </si>
  <si>
    <t>LEALCO-EEG_115</t>
  </si>
  <si>
    <t>LEALCO-EEG_116</t>
  </si>
  <si>
    <t>LEALCO-EEG_117</t>
  </si>
  <si>
    <t>LEALCO-EEG_118</t>
  </si>
  <si>
    <t>LEALCO-EEG_119</t>
  </si>
  <si>
    <t>LEALCO-EEG_120</t>
  </si>
  <si>
    <t>LEALCO-EEG_121</t>
  </si>
  <si>
    <t>LEALCO-EEG_122</t>
  </si>
  <si>
    <t>LEALCO-EEG_123</t>
  </si>
  <si>
    <t>LEALCO-EEG_124</t>
  </si>
  <si>
    <t>LEALCO-EEG_125</t>
  </si>
  <si>
    <t>LEALCO-EEG_126</t>
  </si>
  <si>
    <t>LEALCO-EEG_127</t>
  </si>
  <si>
    <t>LEALCO-EEG_128</t>
  </si>
  <si>
    <t>LEALCO-EEG_129</t>
  </si>
  <si>
    <t>LEALCO-EEG_130</t>
  </si>
  <si>
    <t>LEALCO-EEG_131</t>
  </si>
  <si>
    <t>LEALCO-EEG_132</t>
  </si>
  <si>
    <t>LEALCO-EEG_133</t>
  </si>
  <si>
    <t>LEALCO-EEG_134</t>
  </si>
  <si>
    <t>LEALCO-EEG_135</t>
  </si>
  <si>
    <t>LEALCO-EEG_136</t>
  </si>
  <si>
    <t>LEALCO-EEG_137</t>
  </si>
  <si>
    <t>LEALCO-EEG_138</t>
  </si>
  <si>
    <t>LEALCO-EEG_139</t>
  </si>
  <si>
    <t>LEALCO-EEG_140</t>
  </si>
  <si>
    <t>LEALCO-EEG_141</t>
  </si>
  <si>
    <t>LEALCO-EEG_142</t>
  </si>
  <si>
    <t>LEALCO-EEG_143</t>
  </si>
  <si>
    <t>LEALCO-EEG_144</t>
  </si>
  <si>
    <t>LEALCO-EEG_145</t>
  </si>
  <si>
    <t>LEALCO-EEG_146</t>
  </si>
  <si>
    <t>LEALCO-EEG_147</t>
  </si>
  <si>
    <t>LEALCO-EEG_148</t>
  </si>
  <si>
    <t>Subject</t>
  </si>
  <si>
    <t>Comment</t>
  </si>
  <si>
    <t>yes</t>
  </si>
  <si>
    <t>no</t>
  </si>
  <si>
    <t>Meets study inclusion criteria?</t>
  </si>
  <si>
    <t>Meets behavioral criteria?</t>
  </si>
  <si>
    <t>Enough EEG trials?</t>
  </si>
  <si>
    <t>[EEG] too few trials in "different" condition</t>
  </si>
  <si>
    <t>[EEG] too few trials in "same" condition</t>
  </si>
  <si>
    <t>Grew up bilingual</t>
  </si>
  <si>
    <t>Already took part to LEALCO-BEH</t>
  </si>
  <si>
    <t>Already took part to LEALCO-BEH / [EEG] too few trials in "different" condition</t>
  </si>
  <si>
    <t>D009_01</t>
  </si>
  <si>
    <t>D010_02</t>
  </si>
  <si>
    <t>D010_03</t>
  </si>
  <si>
    <t>D010_04</t>
  </si>
  <si>
    <t>D010_05</t>
  </si>
  <si>
    <t>D010_06</t>
  </si>
  <si>
    <t>D010_07</t>
  </si>
  <si>
    <t>D010_08</t>
  </si>
  <si>
    <t>D010_09</t>
  </si>
  <si>
    <t>D010_10</t>
  </si>
  <si>
    <t>D010_11</t>
  </si>
  <si>
    <t>D011</t>
  </si>
  <si>
    <t>D012</t>
  </si>
  <si>
    <t>D013_01</t>
  </si>
  <si>
    <t>D013_02</t>
  </si>
  <si>
    <t>VP-ID: [01]</t>
  </si>
  <si>
    <t>Händigkeit_ausf: 1&lt;tab&gt;Schreiben</t>
  </si>
  <si>
    <t>Händigkeit_ausf: 2&lt;tab&gt;Zeichnen</t>
  </si>
  <si>
    <t>Händigkeit_ausf: 3&lt;tab&gt;Werfen</t>
  </si>
  <si>
    <t>Händigkeit_ausf: 4&lt;tab&gt;Schere</t>
  </si>
  <si>
    <t>Händigkeit_ausf: 5&lt;tab&gt;Zahnbürste</t>
  </si>
  <si>
    <t>Händigkeit_ausf: 6&lt;tab&gt;Messer (ohne Gabel)</t>
  </si>
  <si>
    <t>Händigkeit_ausf: 7&lt;tab&gt;Löffel</t>
  </si>
  <si>
    <t>Händigkeit_ausf: 8&lt;tab&gt;Besen (obere Hand)</t>
  </si>
  <si>
    <t>Händigkeit_ausf: 9&lt;tab&gt;Streichholz anzünden</t>
  </si>
  <si>
    <t>Händigkeit_ausf: 10&lt;tab&gt;Eine Kiste öffnen (Hand am Deckel)</t>
  </si>
  <si>
    <t>Händigkeit_ausf2</t>
  </si>
  <si>
    <t>Händigkeit_ausf2b</t>
  </si>
  <si>
    <t>Händigkeit_geschw: Anzahl Geschwister</t>
  </si>
  <si>
    <t>Händigkeit_geschw: Anzahl davon Linkshänder</t>
  </si>
  <si>
    <t>2</t>
  </si>
  <si>
    <t>0</t>
  </si>
  <si>
    <t>3</t>
  </si>
  <si>
    <t>4</t>
  </si>
  <si>
    <t>1</t>
  </si>
  <si>
    <t>10</t>
  </si>
  <si>
    <t>LQ</t>
  </si>
  <si>
    <t>Left (+)</t>
  </si>
  <si>
    <t>Right (+)</t>
  </si>
  <si>
    <t>Sum Left (+)</t>
  </si>
  <si>
    <t>Sum Right (+)</t>
  </si>
  <si>
    <t>D001</t>
  </si>
  <si>
    <t>D002_01</t>
  </si>
  <si>
    <t>gender</t>
  </si>
  <si>
    <t>Alter: [01]</t>
  </si>
  <si>
    <t>mean</t>
  </si>
  <si>
    <t>sd</t>
  </si>
  <si>
    <t>count (male)</t>
  </si>
  <si>
    <t>count (did not respons)</t>
  </si>
  <si>
    <t>count (other)</t>
  </si>
  <si>
    <t>count (female)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</si>
</sst>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textRotation="45"/>
    </xf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0" fontId="2" fillId="3" borderId="0" xfId="2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 textRotation="90"/>
    </xf>
    <xf numFmtId="0" fontId="3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/>
    <xf numFmtId="49" fontId="0" fillId="0" borderId="0" xfId="0" applyNumberFormat="1" applyFont="1"/>
    <xf numFmtId="0" fontId="0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/>
    <xf numFmtId="1" fontId="3" fillId="0" borderId="0" xfId="0" applyNumberFormat="1" applyFont="1"/>
    <xf numFmtId="49" fontId="3" fillId="0" borderId="0" xfId="0" applyNumberFormat="1" applyFont="1"/>
    <xf numFmtId="0" fontId="3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3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3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3" fillId="0" borderId="0" xfId="0" applyFont="1" applyFill="1" applyAlignment="1">
      <alignment horizontal="center"/>
    </xf>
    <xf numFmtId="1" fontId="3" fillId="0" borderId="0" xfId="0" applyNumberFormat="1" applyFont="1" applyFill="1" applyAlignment="1">
      <alignment horizontal="center"/>
    </xf>
    <xf numFmtId="0" fontId="0" fillId="0" borderId="0" xfId="0" applyFont="1" applyFill="1" applyAlignment="1">
      <alignment horizontal="center"/>
    </xf>
    <xf numFmtId="1" fontId="0" fillId="0" borderId="0" xfId="0" applyNumberFormat="1" applyFont="1" applyFill="1" applyAlignment="1">
      <alignment horizontal="center"/>
    </xf>
    <xf numFmtId="0" fontId="0" fillId="0" borderId="0" xfId="0" applyNumberFormat="1"/>
    <xf numFmtId="0" fontId="3" fillId="0" borderId="0" xfId="0" applyNumberFormat="1" applyFont="1" applyFill="1" applyAlignment="1">
      <alignment horizontal="center"/>
    </xf>
    <xf numFmtId="1" fontId="0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3">
    <cellStyle name="Gut" xfId="1" builtinId="26"/>
    <cellStyle name="Schlecht" xfId="2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14</xdr:row>
      <xdr:rowOff>9525</xdr:rowOff>
    </xdr:from>
    <xdr:to>
      <xdr:col>13</xdr:col>
      <xdr:colOff>152400</xdr:colOff>
      <xdr:row>29</xdr:row>
      <xdr:rowOff>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AD4C43AF-53F0-40B2-B62A-D011981D3E17}"/>
            </a:ext>
          </a:extLst>
        </xdr:cNvPr>
        <xdr:cNvSpPr txBox="1"/>
      </xdr:nvSpPr>
      <xdr:spPr>
        <a:xfrm>
          <a:off x="9906000" y="4391025"/>
          <a:ext cx="3790950" cy="2847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TEILNAHMEVORAUSSETZUNGEN</a:t>
          </a:r>
          <a:br>
            <a:rPr lang="en-US"/>
          </a:br>
          <a:r>
            <a:rPr lang="en-US"/>
            <a:t>• Alter zwischen 18 und 35 Jahren</a:t>
          </a:r>
          <a:br>
            <a:rPr lang="en-US"/>
          </a:br>
          <a:r>
            <a:rPr lang="en-US"/>
            <a:t>• Rechtshändigkeit</a:t>
          </a:r>
          <a:br>
            <a:rPr lang="en-US"/>
          </a:br>
          <a:r>
            <a:rPr lang="en-US"/>
            <a:t>• keine unkorrigierte Sehschwäche</a:t>
          </a:r>
          <a:br>
            <a:rPr lang="en-US"/>
          </a:br>
          <a:r>
            <a:rPr lang="en-US"/>
            <a:t>• keine unkorrigierte Hörschwäche</a:t>
          </a:r>
          <a:br>
            <a:rPr lang="en-US"/>
          </a:br>
          <a:r>
            <a:rPr lang="en-US"/>
            <a:t>• keine diagnostizierte Sprach- oder Lernstörungen</a:t>
          </a:r>
          <a:br>
            <a:rPr lang="en-US"/>
          </a:br>
          <a:r>
            <a:rPr lang="en-US"/>
            <a:t>• keine diagnostizierte neurologische Erkrankungen</a:t>
          </a:r>
          <a:br>
            <a:rPr lang="en-US"/>
          </a:br>
          <a:r>
            <a:rPr lang="en-US"/>
            <a:t>• Keine aktuelle Behandlung mit Psychopharmaka</a:t>
          </a:r>
          <a:br>
            <a:rPr lang="en-US"/>
          </a:br>
          <a:r>
            <a:rPr lang="en-US"/>
            <a:t>• Deutsch ist Ihre Muttersprache und Sie sind monolingual aufgewachsen</a:t>
          </a:r>
          <a:br>
            <a:rPr lang="en-US"/>
          </a:br>
          <a:r>
            <a:rPr lang="en-US"/>
            <a:t>• Sie haben nicht an der LEALCO-BEH Studie teilgenommen (SoSe24)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selection activeCell="C20" sqref="C20"/>
    </sheetView>
  </sheetViews>
  <sheetFormatPr baseColWidth="10" defaultColWidth="9.140625" defaultRowHeight="15" x14ac:dyDescent="0.25"/>
  <cols>
    <col min="1" max="1" width="21.28515625" style="7" customWidth="1"/>
    <col min="2" max="2" width="8.28515625" style="2" customWidth="1"/>
    <col min="3" max="3" width="6.85546875" style="2" customWidth="1"/>
    <col min="4" max="4" width="7.85546875" style="2" customWidth="1"/>
    <col min="5" max="5" width="85.7109375" customWidth="1"/>
  </cols>
  <sheetData>
    <row r="1" spans="1:5" s="1" customFormat="1" ht="150" x14ac:dyDescent="0.25">
      <c r="A1" s="5" t="s">
        <v>48</v>
      </c>
      <c r="B1" s="6" t="s">
        <v>52</v>
      </c>
      <c r="C1" s="6" t="s">
        <v>53</v>
      </c>
      <c r="D1" s="6" t="s">
        <v>54</v>
      </c>
      <c r="E1" s="5" t="s">
        <v>49</v>
      </c>
    </row>
    <row r="2" spans="1:5" x14ac:dyDescent="0.25">
      <c r="A2" s="7" t="s">
        <v>0</v>
      </c>
      <c r="B2" s="3" t="s">
        <v>50</v>
      </c>
      <c r="C2" s="3" t="s">
        <v>50</v>
      </c>
      <c r="D2" s="4" t="s">
        <v>51</v>
      </c>
      <c r="E2" t="s">
        <v>55</v>
      </c>
    </row>
    <row r="3" spans="1:5" x14ac:dyDescent="0.25">
      <c r="A3" s="7" t="s">
        <v>1</v>
      </c>
      <c r="B3" s="3" t="s">
        <v>50</v>
      </c>
      <c r="C3" s="3" t="s">
        <v>50</v>
      </c>
      <c r="D3" s="3" t="s">
        <v>50</v>
      </c>
    </row>
    <row r="4" spans="1:5" x14ac:dyDescent="0.25">
      <c r="A4" s="7" t="s">
        <v>2</v>
      </c>
      <c r="B4" s="3" t="s">
        <v>50</v>
      </c>
      <c r="C4" s="4" t="s">
        <v>51</v>
      </c>
      <c r="D4" s="4" t="s">
        <v>51</v>
      </c>
      <c r="E4" t="s">
        <v>56</v>
      </c>
    </row>
    <row r="5" spans="1:5" x14ac:dyDescent="0.25">
      <c r="A5" s="7" t="s">
        <v>3</v>
      </c>
      <c r="B5" s="3" t="s">
        <v>50</v>
      </c>
      <c r="C5" s="3" t="s">
        <v>50</v>
      </c>
      <c r="D5" s="3" t="s">
        <v>50</v>
      </c>
    </row>
    <row r="6" spans="1:5" x14ac:dyDescent="0.25">
      <c r="A6" s="7" t="s">
        <v>4</v>
      </c>
      <c r="B6" s="3" t="s">
        <v>50</v>
      </c>
      <c r="C6" s="3" t="s">
        <v>50</v>
      </c>
      <c r="D6" s="3" t="s">
        <v>50</v>
      </c>
    </row>
    <row r="7" spans="1:5" x14ac:dyDescent="0.25">
      <c r="A7" s="7" t="s">
        <v>5</v>
      </c>
      <c r="B7" s="3" t="s">
        <v>50</v>
      </c>
      <c r="C7" s="3" t="s">
        <v>50</v>
      </c>
      <c r="D7" s="3" t="s">
        <v>50</v>
      </c>
    </row>
    <row r="8" spans="1:5" x14ac:dyDescent="0.25">
      <c r="A8" s="7" t="s">
        <v>6</v>
      </c>
      <c r="B8" s="4" t="s">
        <v>51</v>
      </c>
      <c r="C8" s="4" t="s">
        <v>50</v>
      </c>
      <c r="D8" s="4" t="s">
        <v>50</v>
      </c>
      <c r="E8" t="s">
        <v>58</v>
      </c>
    </row>
    <row r="9" spans="1:5" x14ac:dyDescent="0.25">
      <c r="A9" s="7" t="s">
        <v>7</v>
      </c>
      <c r="B9" s="3" t="s">
        <v>50</v>
      </c>
      <c r="C9" s="3" t="s">
        <v>50</v>
      </c>
      <c r="D9" s="3" t="s">
        <v>50</v>
      </c>
    </row>
    <row r="10" spans="1:5" x14ac:dyDescent="0.25">
      <c r="A10" s="7" t="s">
        <v>8</v>
      </c>
      <c r="B10" s="3" t="s">
        <v>50</v>
      </c>
      <c r="C10" s="3" t="s">
        <v>50</v>
      </c>
      <c r="D10" s="3" t="s">
        <v>50</v>
      </c>
    </row>
    <row r="11" spans="1:5" x14ac:dyDescent="0.25">
      <c r="A11" s="7" t="s">
        <v>9</v>
      </c>
      <c r="B11" s="3" t="s">
        <v>50</v>
      </c>
      <c r="C11" s="3" t="s">
        <v>50</v>
      </c>
      <c r="D11" s="3" t="s">
        <v>50</v>
      </c>
    </row>
    <row r="12" spans="1:5" x14ac:dyDescent="0.25">
      <c r="A12" s="7" t="s">
        <v>10</v>
      </c>
      <c r="B12" s="3" t="s">
        <v>50</v>
      </c>
      <c r="C12" s="3" t="s">
        <v>50</v>
      </c>
      <c r="D12" s="3" t="s">
        <v>50</v>
      </c>
    </row>
    <row r="13" spans="1:5" x14ac:dyDescent="0.25">
      <c r="A13" s="7" t="s">
        <v>11</v>
      </c>
      <c r="B13" s="3" t="s">
        <v>50</v>
      </c>
      <c r="C13" s="3" t="s">
        <v>50</v>
      </c>
      <c r="D13" s="3" t="s">
        <v>50</v>
      </c>
    </row>
    <row r="14" spans="1:5" x14ac:dyDescent="0.25">
      <c r="A14" s="7" t="s">
        <v>12</v>
      </c>
      <c r="B14" s="3" t="s">
        <v>50</v>
      </c>
      <c r="C14" s="3" t="s">
        <v>50</v>
      </c>
      <c r="D14" s="3" t="s">
        <v>50</v>
      </c>
    </row>
    <row r="15" spans="1:5" x14ac:dyDescent="0.25">
      <c r="A15" s="7" t="s">
        <v>13</v>
      </c>
      <c r="B15" s="3" t="s">
        <v>50</v>
      </c>
      <c r="C15" s="3" t="s">
        <v>50</v>
      </c>
      <c r="D15" s="3" t="s">
        <v>50</v>
      </c>
    </row>
    <row r="16" spans="1:5" x14ac:dyDescent="0.25">
      <c r="A16" s="7" t="s">
        <v>14</v>
      </c>
      <c r="B16" s="3" t="s">
        <v>50</v>
      </c>
      <c r="C16" s="3" t="s">
        <v>50</v>
      </c>
      <c r="D16" s="4" t="s">
        <v>51</v>
      </c>
      <c r="E16" t="s">
        <v>56</v>
      </c>
    </row>
    <row r="17" spans="1:5" x14ac:dyDescent="0.25">
      <c r="A17" s="7" t="s">
        <v>15</v>
      </c>
      <c r="B17" s="3" t="s">
        <v>50</v>
      </c>
      <c r="C17" s="3" t="s">
        <v>50</v>
      </c>
      <c r="D17" s="3" t="s">
        <v>50</v>
      </c>
    </row>
    <row r="18" spans="1:5" x14ac:dyDescent="0.25">
      <c r="A18" s="7" t="s">
        <v>16</v>
      </c>
      <c r="B18" s="3" t="s">
        <v>50</v>
      </c>
      <c r="C18" s="3" t="s">
        <v>50</v>
      </c>
      <c r="D18" s="3" t="s">
        <v>50</v>
      </c>
    </row>
    <row r="19" spans="1:5" x14ac:dyDescent="0.25">
      <c r="A19" s="7" t="s">
        <v>17</v>
      </c>
      <c r="B19" s="3" t="s">
        <v>50</v>
      </c>
      <c r="C19" s="3" t="s">
        <v>50</v>
      </c>
      <c r="D19" s="3" t="s">
        <v>50</v>
      </c>
    </row>
    <row r="20" spans="1:5" x14ac:dyDescent="0.25">
      <c r="A20" s="7" t="s">
        <v>18</v>
      </c>
      <c r="B20" s="4" t="s">
        <v>51</v>
      </c>
      <c r="C20" s="4" t="s">
        <v>50</v>
      </c>
      <c r="D20" s="4" t="s">
        <v>50</v>
      </c>
      <c r="E20" t="s">
        <v>57</v>
      </c>
    </row>
    <row r="21" spans="1:5" x14ac:dyDescent="0.25">
      <c r="A21" s="7" t="s">
        <v>19</v>
      </c>
      <c r="B21" s="3" t="s">
        <v>50</v>
      </c>
      <c r="C21" s="3" t="s">
        <v>50</v>
      </c>
      <c r="D21" s="3" t="s">
        <v>50</v>
      </c>
    </row>
    <row r="22" spans="1:5" x14ac:dyDescent="0.25">
      <c r="A22" s="7" t="s">
        <v>20</v>
      </c>
      <c r="B22" s="3" t="s">
        <v>50</v>
      </c>
      <c r="C22" s="3" t="s">
        <v>50</v>
      </c>
      <c r="D22" s="4" t="s">
        <v>51</v>
      </c>
      <c r="E22" t="s">
        <v>55</v>
      </c>
    </row>
    <row r="23" spans="1:5" x14ac:dyDescent="0.25">
      <c r="A23" s="7" t="s">
        <v>21</v>
      </c>
      <c r="B23" s="3" t="s">
        <v>50</v>
      </c>
      <c r="C23" s="3" t="s">
        <v>50</v>
      </c>
      <c r="D23" s="3" t="s">
        <v>50</v>
      </c>
    </row>
    <row r="24" spans="1:5" x14ac:dyDescent="0.25">
      <c r="A24" s="7" t="s">
        <v>22</v>
      </c>
      <c r="B24" s="3" t="s">
        <v>50</v>
      </c>
      <c r="C24" s="3" t="s">
        <v>50</v>
      </c>
      <c r="D24" s="3" t="s">
        <v>50</v>
      </c>
    </row>
    <row r="25" spans="1:5" x14ac:dyDescent="0.25">
      <c r="A25" s="7" t="s">
        <v>23</v>
      </c>
      <c r="B25" s="3" t="s">
        <v>50</v>
      </c>
      <c r="C25" s="3" t="s">
        <v>50</v>
      </c>
      <c r="D25" s="3" t="s">
        <v>50</v>
      </c>
    </row>
    <row r="26" spans="1:5" x14ac:dyDescent="0.25">
      <c r="A26" s="7" t="s">
        <v>24</v>
      </c>
      <c r="B26" s="3" t="s">
        <v>50</v>
      </c>
      <c r="C26" s="3" t="s">
        <v>50</v>
      </c>
      <c r="D26" s="3" t="s">
        <v>50</v>
      </c>
    </row>
    <row r="27" spans="1:5" x14ac:dyDescent="0.25">
      <c r="A27" s="7" t="s">
        <v>25</v>
      </c>
      <c r="B27" s="3" t="s">
        <v>50</v>
      </c>
      <c r="C27" s="3" t="s">
        <v>50</v>
      </c>
      <c r="D27" s="3" t="s">
        <v>50</v>
      </c>
    </row>
    <row r="28" spans="1:5" x14ac:dyDescent="0.25">
      <c r="A28" s="7" t="s">
        <v>26</v>
      </c>
      <c r="B28" s="3" t="s">
        <v>50</v>
      </c>
      <c r="C28" s="3" t="s">
        <v>50</v>
      </c>
      <c r="D28" s="3" t="s">
        <v>50</v>
      </c>
    </row>
    <row r="29" spans="1:5" x14ac:dyDescent="0.25">
      <c r="A29" s="7" t="s">
        <v>27</v>
      </c>
      <c r="B29" s="3" t="s">
        <v>50</v>
      </c>
      <c r="C29" s="3" t="s">
        <v>50</v>
      </c>
      <c r="D29" s="3" t="s">
        <v>50</v>
      </c>
    </row>
    <row r="30" spans="1:5" x14ac:dyDescent="0.25">
      <c r="A30" s="7" t="s">
        <v>28</v>
      </c>
      <c r="B30" s="4" t="s">
        <v>51</v>
      </c>
      <c r="C30" s="4" t="s">
        <v>50</v>
      </c>
      <c r="D30" s="4" t="s">
        <v>50</v>
      </c>
      <c r="E30" t="s">
        <v>58</v>
      </c>
    </row>
    <row r="31" spans="1:5" x14ac:dyDescent="0.25">
      <c r="A31" s="7" t="s">
        <v>29</v>
      </c>
      <c r="B31" s="3" t="s">
        <v>50</v>
      </c>
      <c r="C31" s="3" t="s">
        <v>50</v>
      </c>
      <c r="D31" s="3" t="s">
        <v>50</v>
      </c>
    </row>
    <row r="32" spans="1:5" x14ac:dyDescent="0.25">
      <c r="A32" s="7" t="s">
        <v>30</v>
      </c>
      <c r="B32" s="3" t="s">
        <v>50</v>
      </c>
      <c r="C32" s="3" t="s">
        <v>50</v>
      </c>
      <c r="D32" s="3" t="s">
        <v>50</v>
      </c>
    </row>
    <row r="33" spans="1:5" x14ac:dyDescent="0.25">
      <c r="A33" s="7" t="s">
        <v>31</v>
      </c>
      <c r="B33" s="3" t="s">
        <v>50</v>
      </c>
      <c r="C33" s="3" t="s">
        <v>50</v>
      </c>
      <c r="D33" s="3" t="s">
        <v>50</v>
      </c>
    </row>
    <row r="34" spans="1:5" x14ac:dyDescent="0.25">
      <c r="A34" s="7" t="s">
        <v>32</v>
      </c>
      <c r="B34" s="3" t="s">
        <v>50</v>
      </c>
      <c r="C34" s="3" t="s">
        <v>50</v>
      </c>
      <c r="D34" s="3" t="s">
        <v>50</v>
      </c>
    </row>
    <row r="35" spans="1:5" x14ac:dyDescent="0.25">
      <c r="A35" s="7" t="s">
        <v>33</v>
      </c>
      <c r="B35" s="3" t="s">
        <v>50</v>
      </c>
      <c r="C35" s="3" t="s">
        <v>50</v>
      </c>
      <c r="D35" s="3" t="s">
        <v>50</v>
      </c>
    </row>
    <row r="36" spans="1:5" x14ac:dyDescent="0.25">
      <c r="A36" s="7" t="s">
        <v>34</v>
      </c>
      <c r="B36" s="3" t="s">
        <v>50</v>
      </c>
      <c r="C36" s="3" t="s">
        <v>50</v>
      </c>
      <c r="D36" s="3" t="s">
        <v>50</v>
      </c>
    </row>
    <row r="37" spans="1:5" x14ac:dyDescent="0.25">
      <c r="A37" s="7" t="s">
        <v>35</v>
      </c>
      <c r="B37" s="3" t="s">
        <v>50</v>
      </c>
      <c r="C37" s="3" t="s">
        <v>50</v>
      </c>
      <c r="D37" s="3" t="s">
        <v>50</v>
      </c>
    </row>
    <row r="38" spans="1:5" x14ac:dyDescent="0.25">
      <c r="A38" s="7" t="s">
        <v>36</v>
      </c>
      <c r="B38" s="3" t="s">
        <v>50</v>
      </c>
      <c r="C38" s="3" t="s">
        <v>50</v>
      </c>
      <c r="D38" s="3" t="s">
        <v>50</v>
      </c>
    </row>
    <row r="39" spans="1:5" x14ac:dyDescent="0.25">
      <c r="A39" s="7" t="s">
        <v>37</v>
      </c>
      <c r="B39" s="3" t="s">
        <v>50</v>
      </c>
      <c r="C39" s="3" t="s">
        <v>50</v>
      </c>
      <c r="D39" s="3" t="s">
        <v>50</v>
      </c>
    </row>
    <row r="40" spans="1:5" x14ac:dyDescent="0.25">
      <c r="A40" s="7" t="s">
        <v>38</v>
      </c>
      <c r="B40" s="3" t="s">
        <v>50</v>
      </c>
      <c r="C40" s="3" t="s">
        <v>50</v>
      </c>
      <c r="D40" s="3" t="s">
        <v>50</v>
      </c>
    </row>
    <row r="41" spans="1:5" x14ac:dyDescent="0.25">
      <c r="A41" s="7" t="s">
        <v>39</v>
      </c>
      <c r="B41" s="3" t="s">
        <v>50</v>
      </c>
      <c r="C41" s="3" t="s">
        <v>50</v>
      </c>
      <c r="D41" s="3" t="s">
        <v>50</v>
      </c>
    </row>
    <row r="42" spans="1:5" x14ac:dyDescent="0.25">
      <c r="A42" s="7" t="s">
        <v>40</v>
      </c>
      <c r="B42" s="3" t="s">
        <v>50</v>
      </c>
      <c r="C42" s="3" t="s">
        <v>50</v>
      </c>
      <c r="D42" s="3" t="s">
        <v>50</v>
      </c>
    </row>
    <row r="43" spans="1:5" x14ac:dyDescent="0.25">
      <c r="A43" s="7" t="s">
        <v>41</v>
      </c>
      <c r="B43" s="3" t="s">
        <v>50</v>
      </c>
      <c r="C43" s="3" t="s">
        <v>50</v>
      </c>
      <c r="D43" s="3" t="s">
        <v>50</v>
      </c>
    </row>
    <row r="44" spans="1:5" x14ac:dyDescent="0.25">
      <c r="A44" s="7" t="s">
        <v>42</v>
      </c>
      <c r="B44" s="3" t="s">
        <v>50</v>
      </c>
      <c r="C44" s="3" t="s">
        <v>50</v>
      </c>
      <c r="D44" s="3" t="s">
        <v>50</v>
      </c>
    </row>
    <row r="45" spans="1:5" x14ac:dyDescent="0.25">
      <c r="A45" s="7" t="s">
        <v>43</v>
      </c>
      <c r="B45" s="4" t="s">
        <v>51</v>
      </c>
      <c r="C45" s="4" t="s">
        <v>50</v>
      </c>
      <c r="D45" s="4" t="s">
        <v>51</v>
      </c>
      <c r="E45" t="s">
        <v>59</v>
      </c>
    </row>
    <row r="46" spans="1:5" x14ac:dyDescent="0.25">
      <c r="A46" s="7" t="s">
        <v>44</v>
      </c>
      <c r="B46" s="3" t="s">
        <v>50</v>
      </c>
      <c r="C46" s="3" t="s">
        <v>50</v>
      </c>
      <c r="D46" s="3" t="s">
        <v>50</v>
      </c>
    </row>
    <row r="47" spans="1:5" x14ac:dyDescent="0.25">
      <c r="A47" s="7" t="s">
        <v>45</v>
      </c>
      <c r="B47" s="3" t="s">
        <v>50</v>
      </c>
      <c r="C47" s="3" t="s">
        <v>50</v>
      </c>
      <c r="D47" s="3" t="s">
        <v>50</v>
      </c>
    </row>
    <row r="48" spans="1:5" x14ac:dyDescent="0.25">
      <c r="A48" s="7" t="s">
        <v>46</v>
      </c>
      <c r="B48" s="3" t="s">
        <v>50</v>
      </c>
      <c r="C48" s="3" t="s">
        <v>50</v>
      </c>
      <c r="D48" s="3" t="s">
        <v>50</v>
      </c>
    </row>
    <row r="49" spans="1:4" x14ac:dyDescent="0.25">
      <c r="A49" s="7" t="s">
        <v>47</v>
      </c>
      <c r="B49" s="3" t="s">
        <v>50</v>
      </c>
      <c r="C49" s="3" t="s">
        <v>50</v>
      </c>
      <c r="D49" s="3" t="s">
        <v>50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E7161-006B-42E1-8E84-F6ADECFDF781}">
  <dimension ref="A1:AN50"/>
  <sheetViews>
    <sheetView workbookViewId="0">
      <pane xSplit="1" ySplit="2" topLeftCell="U27" activePane="bottomRight" state="frozen"/>
      <selection pane="topRight" activeCell="B1" sqref="B1"/>
      <selection pane="bottomLeft" activeCell="A3" sqref="A3"/>
      <selection pane="bottomRight" sqref="A1:A1048576"/>
    </sheetView>
  </sheetViews>
  <sheetFormatPr baseColWidth="10" defaultRowHeight="15" x14ac:dyDescent="0.25"/>
  <cols>
    <col min="1" max="1" width="10.42578125" style="24" bestFit="1" customWidth="1"/>
    <col min="2" max="13" width="8" style="8" customWidth="1"/>
    <col min="14" max="14" width="10.85546875" style="8" customWidth="1"/>
    <col min="15" max="15" width="10.5703125" style="8" customWidth="1"/>
    <col min="17" max="26" width="11.42578125" style="19"/>
    <col min="27" max="36" width="11.42578125" style="17"/>
    <col min="38" max="38" width="11.5703125" style="21" bestFit="1" customWidth="1"/>
    <col min="39" max="39" width="12.7109375" style="21" bestFit="1" customWidth="1"/>
    <col min="40" max="40" width="11.42578125" style="23"/>
  </cols>
  <sheetData>
    <row r="1" spans="1:40" s="13" customFormat="1" x14ac:dyDescent="0.25">
      <c r="A1" s="24" t="s">
        <v>60</v>
      </c>
      <c r="B1" s="13" t="s">
        <v>61</v>
      </c>
      <c r="C1" s="13" t="s">
        <v>62</v>
      </c>
      <c r="D1" s="13" t="s">
        <v>63</v>
      </c>
      <c r="E1" s="13" t="s">
        <v>64</v>
      </c>
      <c r="F1" s="13" t="s">
        <v>65</v>
      </c>
      <c r="G1" s="13" t="s">
        <v>66</v>
      </c>
      <c r="H1" s="13" t="s">
        <v>67</v>
      </c>
      <c r="I1" s="13" t="s">
        <v>68</v>
      </c>
      <c r="J1" s="13" t="s">
        <v>69</v>
      </c>
      <c r="K1" s="13" t="s">
        <v>70</v>
      </c>
      <c r="L1" s="13" t="s">
        <v>71</v>
      </c>
      <c r="M1" s="13" t="s">
        <v>72</v>
      </c>
      <c r="N1" s="13" t="s">
        <v>73</v>
      </c>
      <c r="O1" s="13" t="s">
        <v>74</v>
      </c>
      <c r="Q1" s="18" t="s">
        <v>61</v>
      </c>
      <c r="R1" s="18" t="s">
        <v>62</v>
      </c>
      <c r="S1" s="18" t="s">
        <v>63</v>
      </c>
      <c r="T1" s="18" t="s">
        <v>64</v>
      </c>
      <c r="U1" s="18" t="s">
        <v>65</v>
      </c>
      <c r="V1" s="18" t="s">
        <v>66</v>
      </c>
      <c r="W1" s="18" t="s">
        <v>67</v>
      </c>
      <c r="X1" s="18" t="s">
        <v>68</v>
      </c>
      <c r="Y1" s="18" t="s">
        <v>69</v>
      </c>
      <c r="Z1" s="18" t="s">
        <v>70</v>
      </c>
      <c r="AA1" s="16" t="s">
        <v>61</v>
      </c>
      <c r="AB1" s="16" t="s">
        <v>62</v>
      </c>
      <c r="AC1" s="16" t="s">
        <v>63</v>
      </c>
      <c r="AD1" s="16" t="s">
        <v>64</v>
      </c>
      <c r="AE1" s="16" t="s">
        <v>65</v>
      </c>
      <c r="AF1" s="16" t="s">
        <v>66</v>
      </c>
      <c r="AG1" s="16" t="s">
        <v>67</v>
      </c>
      <c r="AH1" s="16" t="s">
        <v>68</v>
      </c>
      <c r="AI1" s="16" t="s">
        <v>69</v>
      </c>
      <c r="AJ1" s="16" t="s">
        <v>70</v>
      </c>
      <c r="AL1" s="20" t="s">
        <v>99</v>
      </c>
      <c r="AM1" s="20" t="s">
        <v>100</v>
      </c>
      <c r="AN1" s="5" t="s">
        <v>96</v>
      </c>
    </row>
    <row r="2" spans="1:40" s="13" customFormat="1" x14ac:dyDescent="0.25">
      <c r="A2" s="25" t="s">
        <v>75</v>
      </c>
      <c r="B2" s="14" t="s">
        <v>76</v>
      </c>
      <c r="C2" s="14" t="s">
        <v>77</v>
      </c>
      <c r="D2" s="14" t="s">
        <v>78</v>
      </c>
      <c r="E2" s="14" t="s">
        <v>79</v>
      </c>
      <c r="F2" s="14" t="s">
        <v>80</v>
      </c>
      <c r="G2" s="14" t="s">
        <v>81</v>
      </c>
      <c r="H2" s="14" t="s">
        <v>82</v>
      </c>
      <c r="I2" s="14" t="s">
        <v>83</v>
      </c>
      <c r="J2" s="14" t="s">
        <v>84</v>
      </c>
      <c r="K2" s="14" t="s">
        <v>85</v>
      </c>
      <c r="L2" s="14" t="s">
        <v>86</v>
      </c>
      <c r="M2" s="14" t="s">
        <v>87</v>
      </c>
      <c r="N2" s="15" t="s">
        <v>88</v>
      </c>
      <c r="O2" s="15" t="s">
        <v>89</v>
      </c>
      <c r="Q2" s="18" t="s">
        <v>97</v>
      </c>
      <c r="R2" s="18" t="s">
        <v>97</v>
      </c>
      <c r="S2" s="18" t="s">
        <v>97</v>
      </c>
      <c r="T2" s="18" t="s">
        <v>97</v>
      </c>
      <c r="U2" s="18" t="s">
        <v>97</v>
      </c>
      <c r="V2" s="18" t="s">
        <v>97</v>
      </c>
      <c r="W2" s="18" t="s">
        <v>97</v>
      </c>
      <c r="X2" s="18" t="s">
        <v>97</v>
      </c>
      <c r="Y2" s="18" t="s">
        <v>97</v>
      </c>
      <c r="Z2" s="18" t="s">
        <v>97</v>
      </c>
      <c r="AA2" s="16" t="s">
        <v>98</v>
      </c>
      <c r="AB2" s="16" t="s">
        <v>98</v>
      </c>
      <c r="AC2" s="16" t="s">
        <v>98</v>
      </c>
      <c r="AD2" s="16" t="s">
        <v>98</v>
      </c>
      <c r="AE2" s="16" t="s">
        <v>98</v>
      </c>
      <c r="AF2" s="16" t="s">
        <v>98</v>
      </c>
      <c r="AG2" s="16" t="s">
        <v>98</v>
      </c>
      <c r="AH2" s="16" t="s">
        <v>98</v>
      </c>
      <c r="AI2" s="16" t="s">
        <v>98</v>
      </c>
      <c r="AJ2" s="16" t="s">
        <v>98</v>
      </c>
      <c r="AL2" s="20"/>
      <c r="AM2" s="20"/>
      <c r="AN2" s="5"/>
    </row>
    <row r="3" spans="1:40" x14ac:dyDescent="0.25">
      <c r="A3" s="25">
        <v>101</v>
      </c>
      <c r="B3" s="9">
        <v>5</v>
      </c>
      <c r="C3" s="9">
        <v>5</v>
      </c>
      <c r="D3" s="9">
        <v>5</v>
      </c>
      <c r="E3" s="9">
        <v>5</v>
      </c>
      <c r="F3" s="9">
        <v>5</v>
      </c>
      <c r="G3" s="9">
        <v>5</v>
      </c>
      <c r="H3" s="9">
        <v>5</v>
      </c>
      <c r="I3" s="9">
        <v>5</v>
      </c>
      <c r="J3" s="9">
        <v>5</v>
      </c>
      <c r="K3" s="9">
        <v>5</v>
      </c>
      <c r="L3" s="9">
        <v>2</v>
      </c>
      <c r="M3" s="9">
        <v>2</v>
      </c>
      <c r="N3" s="10" t="s">
        <v>90</v>
      </c>
      <c r="O3" s="10" t="s">
        <v>91</v>
      </c>
      <c r="Q3" s="19">
        <f t="shared" ref="Q3:Z6" si="0">IF(B3=5,0,IF(B3=4,0,IF(B3=3,1,IF(B3=2,1,IF(B3=1,2)))))</f>
        <v>0</v>
      </c>
      <c r="R3" s="19">
        <f t="shared" si="0"/>
        <v>0</v>
      </c>
      <c r="S3" s="19">
        <f t="shared" si="0"/>
        <v>0</v>
      </c>
      <c r="T3" s="19">
        <f t="shared" si="0"/>
        <v>0</v>
      </c>
      <c r="U3" s="19">
        <f t="shared" si="0"/>
        <v>0</v>
      </c>
      <c r="V3" s="19">
        <f t="shared" si="0"/>
        <v>0</v>
      </c>
      <c r="W3" s="19">
        <f t="shared" si="0"/>
        <v>0</v>
      </c>
      <c r="X3" s="19">
        <f t="shared" si="0"/>
        <v>0</v>
      </c>
      <c r="Y3" s="19">
        <f t="shared" si="0"/>
        <v>0</v>
      </c>
      <c r="Z3" s="19">
        <f t="shared" si="0"/>
        <v>0</v>
      </c>
      <c r="AA3" s="17">
        <f>IF(B3=5,2,IF(B3=4,1,IF(B3=3,1,IF(B3=2,0,IF(B3=1,0)))))</f>
        <v>2</v>
      </c>
      <c r="AB3" s="17">
        <f t="shared" ref="AB3:AJ3" si="1">IF(C3=5,2,IF(C3=4,1,IF(C3=3,1,IF(C3=2,0,IF(C3=1,0)))))</f>
        <v>2</v>
      </c>
      <c r="AC3" s="17">
        <f t="shared" si="1"/>
        <v>2</v>
      </c>
      <c r="AD3" s="17">
        <f t="shared" si="1"/>
        <v>2</v>
      </c>
      <c r="AE3" s="17">
        <f t="shared" si="1"/>
        <v>2</v>
      </c>
      <c r="AF3" s="17">
        <f t="shared" si="1"/>
        <v>2</v>
      </c>
      <c r="AG3" s="17">
        <f t="shared" si="1"/>
        <v>2</v>
      </c>
      <c r="AH3" s="17">
        <f t="shared" si="1"/>
        <v>2</v>
      </c>
      <c r="AI3" s="17">
        <f t="shared" si="1"/>
        <v>2</v>
      </c>
      <c r="AJ3" s="17">
        <f t="shared" si="1"/>
        <v>2</v>
      </c>
      <c r="AL3" s="21">
        <f>SUM(Q3:Z3)</f>
        <v>0</v>
      </c>
      <c r="AM3" s="21">
        <f>SUM(AA3:AJ3)</f>
        <v>20</v>
      </c>
      <c r="AN3" s="22">
        <f>(AM3-AL3)/(AM3+AL3)*100</f>
        <v>100</v>
      </c>
    </row>
    <row r="4" spans="1:40" x14ac:dyDescent="0.25">
      <c r="A4" s="25">
        <v>102</v>
      </c>
      <c r="B4" s="9">
        <v>5</v>
      </c>
      <c r="C4" s="9">
        <v>5</v>
      </c>
      <c r="D4" s="9">
        <v>4</v>
      </c>
      <c r="E4" s="9">
        <v>4</v>
      </c>
      <c r="F4" s="9">
        <v>5</v>
      </c>
      <c r="G4" s="9">
        <v>3</v>
      </c>
      <c r="H4" s="9">
        <v>4</v>
      </c>
      <c r="I4" s="9">
        <v>4</v>
      </c>
      <c r="J4" s="9">
        <v>4</v>
      </c>
      <c r="K4" s="9">
        <v>3</v>
      </c>
      <c r="L4" s="9">
        <v>2</v>
      </c>
      <c r="M4" s="9">
        <v>2</v>
      </c>
      <c r="N4" s="10" t="s">
        <v>92</v>
      </c>
      <c r="O4" s="10" t="s">
        <v>91</v>
      </c>
      <c r="Q4" s="19">
        <f t="shared" si="0"/>
        <v>0</v>
      </c>
      <c r="R4" s="19">
        <f t="shared" si="0"/>
        <v>0</v>
      </c>
      <c r="S4" s="19">
        <f t="shared" si="0"/>
        <v>0</v>
      </c>
      <c r="T4" s="19">
        <f t="shared" si="0"/>
        <v>0</v>
      </c>
      <c r="U4" s="19">
        <f t="shared" si="0"/>
        <v>0</v>
      </c>
      <c r="V4" s="19">
        <f t="shared" si="0"/>
        <v>1</v>
      </c>
      <c r="W4" s="19">
        <f t="shared" si="0"/>
        <v>0</v>
      </c>
      <c r="X4" s="19">
        <f t="shared" si="0"/>
        <v>0</v>
      </c>
      <c r="Y4" s="19">
        <f t="shared" si="0"/>
        <v>0</v>
      </c>
      <c r="Z4" s="19">
        <f t="shared" si="0"/>
        <v>1</v>
      </c>
      <c r="AA4" s="17">
        <f>IF(B4=5,2,IF(B4=4,1,IF(B4=3,1,IF(B4=2,0,IF(B4=1,0)))))</f>
        <v>2</v>
      </c>
      <c r="AB4" s="17">
        <f t="shared" ref="AB4:AB6" si="2">IF(C4=5,2,IF(C4=4,1,IF(C4=3,1,IF(C4=2,0,IF(C4=1,0)))))</f>
        <v>2</v>
      </c>
      <c r="AC4" s="17">
        <f t="shared" ref="AC4:AC6" si="3">IF(D4=5,2,IF(D4=4,1,IF(D4=3,1,IF(D4=2,0,IF(D4=1,0)))))</f>
        <v>1</v>
      </c>
      <c r="AD4" s="17">
        <f t="shared" ref="AD4:AD6" si="4">IF(E4=5,2,IF(E4=4,1,IF(E4=3,1,IF(E4=2,0,IF(E4=1,0)))))</f>
        <v>1</v>
      </c>
      <c r="AE4" s="17">
        <f t="shared" ref="AE4:AE6" si="5">IF(F4=5,2,IF(F4=4,1,IF(F4=3,1,IF(F4=2,0,IF(F4=1,0)))))</f>
        <v>2</v>
      </c>
      <c r="AF4" s="17">
        <f t="shared" ref="AF4:AF6" si="6">IF(G4=5,2,IF(G4=4,1,IF(G4=3,1,IF(G4=2,0,IF(G4=1,0)))))</f>
        <v>1</v>
      </c>
      <c r="AG4" s="17">
        <f t="shared" ref="AG4:AG6" si="7">IF(H4=5,2,IF(H4=4,1,IF(H4=3,1,IF(H4=2,0,IF(H4=1,0)))))</f>
        <v>1</v>
      </c>
      <c r="AH4" s="17">
        <f t="shared" ref="AH4:AH6" si="8">IF(I4=5,2,IF(I4=4,1,IF(I4=3,1,IF(I4=2,0,IF(I4=1,0)))))</f>
        <v>1</v>
      </c>
      <c r="AI4" s="17">
        <f t="shared" ref="AI4:AI6" si="9">IF(J4=5,2,IF(J4=4,1,IF(J4=3,1,IF(J4=2,0,IF(J4=1,0)))))</f>
        <v>1</v>
      </c>
      <c r="AJ4" s="17">
        <f t="shared" ref="AJ4:AJ6" si="10">IF(K4=5,2,IF(K4=4,1,IF(K4=3,1,IF(K4=2,0,IF(K4=1,0)))))</f>
        <v>1</v>
      </c>
      <c r="AL4" s="21">
        <f t="shared" ref="AL4:AL6" si="11">SUM(Q4:Z4)</f>
        <v>2</v>
      </c>
      <c r="AM4" s="21">
        <f t="shared" ref="AM4:AM6" si="12">SUM(AA4:AJ4)</f>
        <v>13</v>
      </c>
      <c r="AN4" s="22">
        <f t="shared" ref="AN4:AN6" si="13">(AM4-AL4)/(AM4+AL4)*100</f>
        <v>73.333333333333329</v>
      </c>
    </row>
    <row r="5" spans="1:40" x14ac:dyDescent="0.25">
      <c r="A5" s="25">
        <v>103</v>
      </c>
      <c r="B5" s="9">
        <v>5</v>
      </c>
      <c r="C5" s="9">
        <v>5</v>
      </c>
      <c r="D5" s="9">
        <v>4</v>
      </c>
      <c r="E5" s="9">
        <v>4</v>
      </c>
      <c r="F5" s="9">
        <v>4</v>
      </c>
      <c r="G5" s="9">
        <v>4</v>
      </c>
      <c r="H5" s="9">
        <v>4</v>
      </c>
      <c r="I5" s="9">
        <v>4</v>
      </c>
      <c r="J5" s="9">
        <v>4</v>
      </c>
      <c r="K5" s="9">
        <v>3</v>
      </c>
      <c r="L5" s="9">
        <v>1</v>
      </c>
      <c r="M5" s="9">
        <v>2</v>
      </c>
      <c r="N5" s="10" t="s">
        <v>90</v>
      </c>
      <c r="O5" s="10" t="s">
        <v>90</v>
      </c>
      <c r="Q5" s="19">
        <f t="shared" si="0"/>
        <v>0</v>
      </c>
      <c r="R5" s="19">
        <f t="shared" si="0"/>
        <v>0</v>
      </c>
      <c r="S5" s="19">
        <f t="shared" si="0"/>
        <v>0</v>
      </c>
      <c r="T5" s="19">
        <f t="shared" si="0"/>
        <v>0</v>
      </c>
      <c r="U5" s="19">
        <f t="shared" si="0"/>
        <v>0</v>
      </c>
      <c r="V5" s="19">
        <f t="shared" si="0"/>
        <v>0</v>
      </c>
      <c r="W5" s="19">
        <f t="shared" si="0"/>
        <v>0</v>
      </c>
      <c r="X5" s="19">
        <f t="shared" si="0"/>
        <v>0</v>
      </c>
      <c r="Y5" s="19">
        <f t="shared" si="0"/>
        <v>0</v>
      </c>
      <c r="Z5" s="19">
        <f t="shared" si="0"/>
        <v>1</v>
      </c>
      <c r="AA5" s="17">
        <f>IF(B5=5,2,IF(B5=4,1,IF(B5=3,1,IF(B5=2,0,IF(B5=1,0)))))</f>
        <v>2</v>
      </c>
      <c r="AB5" s="17">
        <f t="shared" si="2"/>
        <v>2</v>
      </c>
      <c r="AC5" s="17">
        <f t="shared" si="3"/>
        <v>1</v>
      </c>
      <c r="AD5" s="17">
        <f t="shared" si="4"/>
        <v>1</v>
      </c>
      <c r="AE5" s="17">
        <f t="shared" si="5"/>
        <v>1</v>
      </c>
      <c r="AF5" s="17">
        <f t="shared" si="6"/>
        <v>1</v>
      </c>
      <c r="AG5" s="17">
        <f t="shared" si="7"/>
        <v>1</v>
      </c>
      <c r="AH5" s="17">
        <f t="shared" si="8"/>
        <v>1</v>
      </c>
      <c r="AI5" s="17">
        <f t="shared" si="9"/>
        <v>1</v>
      </c>
      <c r="AJ5" s="17">
        <f t="shared" si="10"/>
        <v>1</v>
      </c>
      <c r="AL5" s="21">
        <f t="shared" si="11"/>
        <v>1</v>
      </c>
      <c r="AM5" s="21">
        <f t="shared" si="12"/>
        <v>12</v>
      </c>
      <c r="AN5" s="22">
        <f t="shared" si="13"/>
        <v>84.615384615384613</v>
      </c>
    </row>
    <row r="6" spans="1:40" x14ac:dyDescent="0.25">
      <c r="A6" s="25">
        <v>104</v>
      </c>
      <c r="B6" s="9">
        <v>4</v>
      </c>
      <c r="C6" s="9">
        <v>4</v>
      </c>
      <c r="D6" s="9">
        <v>4</v>
      </c>
      <c r="E6" s="9">
        <v>4</v>
      </c>
      <c r="F6" s="9">
        <v>2</v>
      </c>
      <c r="G6" s="9">
        <v>4</v>
      </c>
      <c r="H6" s="9">
        <v>2</v>
      </c>
      <c r="I6" s="9">
        <v>4</v>
      </c>
      <c r="J6" s="9">
        <v>4</v>
      </c>
      <c r="K6" s="9">
        <v>4</v>
      </c>
      <c r="L6" s="9">
        <v>2</v>
      </c>
      <c r="M6" s="9">
        <v>2</v>
      </c>
      <c r="N6" s="10" t="s">
        <v>93</v>
      </c>
      <c r="O6" s="10" t="s">
        <v>91</v>
      </c>
      <c r="Q6" s="19">
        <f t="shared" si="0"/>
        <v>0</v>
      </c>
      <c r="R6" s="19">
        <f t="shared" si="0"/>
        <v>0</v>
      </c>
      <c r="S6" s="19">
        <f t="shared" si="0"/>
        <v>0</v>
      </c>
      <c r="T6" s="19">
        <f t="shared" si="0"/>
        <v>0</v>
      </c>
      <c r="U6" s="19">
        <f t="shared" si="0"/>
        <v>1</v>
      </c>
      <c r="V6" s="19">
        <f t="shared" si="0"/>
        <v>0</v>
      </c>
      <c r="W6" s="19">
        <f t="shared" si="0"/>
        <v>1</v>
      </c>
      <c r="X6" s="19">
        <f t="shared" si="0"/>
        <v>0</v>
      </c>
      <c r="Y6" s="19">
        <f t="shared" si="0"/>
        <v>0</v>
      </c>
      <c r="Z6" s="19">
        <f t="shared" si="0"/>
        <v>0</v>
      </c>
      <c r="AA6" s="17">
        <f>IF(B6=5,2,IF(B6=4,1,IF(B6=3,1,IF(B6=2,0,IF(B6=1,0)))))</f>
        <v>1</v>
      </c>
      <c r="AB6" s="17">
        <f t="shared" si="2"/>
        <v>1</v>
      </c>
      <c r="AC6" s="17">
        <f t="shared" si="3"/>
        <v>1</v>
      </c>
      <c r="AD6" s="17">
        <f t="shared" si="4"/>
        <v>1</v>
      </c>
      <c r="AE6" s="17">
        <f t="shared" si="5"/>
        <v>0</v>
      </c>
      <c r="AF6" s="17">
        <f t="shared" si="6"/>
        <v>1</v>
      </c>
      <c r="AG6" s="17">
        <f t="shared" si="7"/>
        <v>0</v>
      </c>
      <c r="AH6" s="17">
        <f t="shared" si="8"/>
        <v>1</v>
      </c>
      <c r="AI6" s="17">
        <f t="shared" si="9"/>
        <v>1</v>
      </c>
      <c r="AJ6" s="17">
        <f t="shared" si="10"/>
        <v>1</v>
      </c>
      <c r="AL6" s="21">
        <f t="shared" si="11"/>
        <v>2</v>
      </c>
      <c r="AM6" s="21">
        <f t="shared" si="12"/>
        <v>8</v>
      </c>
      <c r="AN6" s="22">
        <f t="shared" si="13"/>
        <v>60</v>
      </c>
    </row>
    <row r="7" spans="1:40" x14ac:dyDescent="0.25">
      <c r="A7" s="25">
        <v>105</v>
      </c>
      <c r="B7" s="9">
        <v>5</v>
      </c>
      <c r="C7" s="9">
        <v>5</v>
      </c>
      <c r="D7" s="9">
        <v>5</v>
      </c>
      <c r="E7" s="9">
        <v>5</v>
      </c>
      <c r="F7" s="9">
        <v>5</v>
      </c>
      <c r="G7" s="9">
        <v>5</v>
      </c>
      <c r="H7" s="9">
        <v>5</v>
      </c>
      <c r="I7" s="9">
        <v>3</v>
      </c>
      <c r="J7" s="9">
        <v>5</v>
      </c>
      <c r="K7" s="9">
        <v>5</v>
      </c>
      <c r="L7" s="9">
        <v>2</v>
      </c>
      <c r="M7" s="9">
        <v>2</v>
      </c>
      <c r="N7" s="10" t="s">
        <v>94</v>
      </c>
      <c r="O7" s="10" t="s">
        <v>91</v>
      </c>
      <c r="Q7" s="19">
        <f t="shared" ref="Q7:Q50" si="14">IF(B7=5,0,IF(B7=4,0,IF(B7=3,1,IF(B7=2,1,IF(B7=1,2)))))</f>
        <v>0</v>
      </c>
      <c r="R7" s="19">
        <f t="shared" ref="R7:R50" si="15">IF(C7=5,0,IF(C7=4,0,IF(C7=3,1,IF(C7=2,1,IF(C7=1,2)))))</f>
        <v>0</v>
      </c>
      <c r="S7" s="19">
        <f t="shared" ref="S7:S50" si="16">IF(D7=5,0,IF(D7=4,0,IF(D7=3,1,IF(D7=2,1,IF(D7=1,2)))))</f>
        <v>0</v>
      </c>
      <c r="T7" s="19">
        <f t="shared" ref="T7:T50" si="17">IF(E7=5,0,IF(E7=4,0,IF(E7=3,1,IF(E7=2,1,IF(E7=1,2)))))</f>
        <v>0</v>
      </c>
      <c r="U7" s="19">
        <f t="shared" ref="U7:U50" si="18">IF(F7=5,0,IF(F7=4,0,IF(F7=3,1,IF(F7=2,1,IF(F7=1,2)))))</f>
        <v>0</v>
      </c>
      <c r="V7" s="19">
        <f t="shared" ref="V7:V50" si="19">IF(G7=5,0,IF(G7=4,0,IF(G7=3,1,IF(G7=2,1,IF(G7=1,2)))))</f>
        <v>0</v>
      </c>
      <c r="W7" s="19">
        <f t="shared" ref="W7:W50" si="20">IF(H7=5,0,IF(H7=4,0,IF(H7=3,1,IF(H7=2,1,IF(H7=1,2)))))</f>
        <v>0</v>
      </c>
      <c r="X7" s="19">
        <f t="shared" ref="X7:X50" si="21">IF(I7=5,0,IF(I7=4,0,IF(I7=3,1,IF(I7=2,1,IF(I7=1,2)))))</f>
        <v>1</v>
      </c>
      <c r="Y7" s="19">
        <f t="shared" ref="Y7:Y50" si="22">IF(J7=5,0,IF(J7=4,0,IF(J7=3,1,IF(J7=2,1,IF(J7=1,2)))))</f>
        <v>0</v>
      </c>
      <c r="Z7" s="19">
        <f t="shared" ref="Z7:Z50" si="23">IF(K7=5,0,IF(K7=4,0,IF(K7=3,1,IF(K7=2,1,IF(K7=1,2)))))</f>
        <v>0</v>
      </c>
      <c r="AA7" s="17">
        <f t="shared" ref="AA7:AA50" si="24">IF(B7=5,2,IF(B7=4,1,IF(B7=3,1,IF(B7=2,0,IF(B7=1,0)))))</f>
        <v>2</v>
      </c>
      <c r="AB7" s="17">
        <f t="shared" ref="AB7:AB50" si="25">IF(C7=5,2,IF(C7=4,1,IF(C7=3,1,IF(C7=2,0,IF(C7=1,0)))))</f>
        <v>2</v>
      </c>
      <c r="AC7" s="17">
        <f t="shared" ref="AC7:AC50" si="26">IF(D7=5,2,IF(D7=4,1,IF(D7=3,1,IF(D7=2,0,IF(D7=1,0)))))</f>
        <v>2</v>
      </c>
      <c r="AD7" s="17">
        <f t="shared" ref="AD7:AD50" si="27">IF(E7=5,2,IF(E7=4,1,IF(E7=3,1,IF(E7=2,0,IF(E7=1,0)))))</f>
        <v>2</v>
      </c>
      <c r="AE7" s="17">
        <f t="shared" ref="AE7:AE50" si="28">IF(F7=5,2,IF(F7=4,1,IF(F7=3,1,IF(F7=2,0,IF(F7=1,0)))))</f>
        <v>2</v>
      </c>
      <c r="AF7" s="17">
        <f t="shared" ref="AF7:AF50" si="29">IF(G7=5,2,IF(G7=4,1,IF(G7=3,1,IF(G7=2,0,IF(G7=1,0)))))</f>
        <v>2</v>
      </c>
      <c r="AG7" s="17">
        <f t="shared" ref="AG7:AG50" si="30">IF(H7=5,2,IF(H7=4,1,IF(H7=3,1,IF(H7=2,0,IF(H7=1,0)))))</f>
        <v>2</v>
      </c>
      <c r="AH7" s="17">
        <f t="shared" ref="AH7:AH50" si="31">IF(I7=5,2,IF(I7=4,1,IF(I7=3,1,IF(I7=2,0,IF(I7=1,0)))))</f>
        <v>1</v>
      </c>
      <c r="AI7" s="17">
        <f t="shared" ref="AI7:AI50" si="32">IF(J7=5,2,IF(J7=4,1,IF(J7=3,1,IF(J7=2,0,IF(J7=1,0)))))</f>
        <v>2</v>
      </c>
      <c r="AJ7" s="17">
        <f t="shared" ref="AJ7:AJ50" si="33">IF(K7=5,2,IF(K7=4,1,IF(K7=3,1,IF(K7=2,0,IF(K7=1,0)))))</f>
        <v>2</v>
      </c>
      <c r="AL7" s="21">
        <f t="shared" ref="AL7:AL50" si="34">SUM(Q7:Z7)</f>
        <v>1</v>
      </c>
      <c r="AM7" s="21">
        <f t="shared" ref="AM7:AM50" si="35">SUM(AA7:AJ7)</f>
        <v>19</v>
      </c>
      <c r="AN7" s="22">
        <f t="shared" ref="AN7:AN50" si="36">(AM7-AL7)/(AM7+AL7)*100</f>
        <v>90</v>
      </c>
    </row>
    <row r="8" spans="1:40" x14ac:dyDescent="0.25">
      <c r="A8" s="25">
        <v>106</v>
      </c>
      <c r="B8" s="9">
        <v>5</v>
      </c>
      <c r="C8" s="9">
        <v>5</v>
      </c>
      <c r="D8" s="9">
        <v>4</v>
      </c>
      <c r="E8" s="9">
        <v>4</v>
      </c>
      <c r="F8" s="9">
        <v>4</v>
      </c>
      <c r="G8" s="9">
        <v>4</v>
      </c>
      <c r="H8" s="9">
        <v>4</v>
      </c>
      <c r="I8" s="9">
        <v>3</v>
      </c>
      <c r="J8" s="9">
        <v>4</v>
      </c>
      <c r="K8" s="9">
        <v>3</v>
      </c>
      <c r="L8" s="9">
        <v>2</v>
      </c>
      <c r="M8" s="9">
        <v>2</v>
      </c>
      <c r="N8" s="10" t="s">
        <v>94</v>
      </c>
      <c r="O8" s="10" t="s">
        <v>91</v>
      </c>
      <c r="Q8" s="19">
        <f t="shared" si="14"/>
        <v>0</v>
      </c>
      <c r="R8" s="19">
        <f t="shared" si="15"/>
        <v>0</v>
      </c>
      <c r="S8" s="19">
        <f t="shared" si="16"/>
        <v>0</v>
      </c>
      <c r="T8" s="19">
        <f t="shared" si="17"/>
        <v>0</v>
      </c>
      <c r="U8" s="19">
        <f t="shared" si="18"/>
        <v>0</v>
      </c>
      <c r="V8" s="19">
        <f t="shared" si="19"/>
        <v>0</v>
      </c>
      <c r="W8" s="19">
        <f t="shared" si="20"/>
        <v>0</v>
      </c>
      <c r="X8" s="19">
        <f t="shared" si="21"/>
        <v>1</v>
      </c>
      <c r="Y8" s="19">
        <f t="shared" si="22"/>
        <v>0</v>
      </c>
      <c r="Z8" s="19">
        <f t="shared" si="23"/>
        <v>1</v>
      </c>
      <c r="AA8" s="17">
        <f t="shared" si="24"/>
        <v>2</v>
      </c>
      <c r="AB8" s="17">
        <f t="shared" si="25"/>
        <v>2</v>
      </c>
      <c r="AC8" s="17">
        <f t="shared" si="26"/>
        <v>1</v>
      </c>
      <c r="AD8" s="17">
        <f t="shared" si="27"/>
        <v>1</v>
      </c>
      <c r="AE8" s="17">
        <f t="shared" si="28"/>
        <v>1</v>
      </c>
      <c r="AF8" s="17">
        <f t="shared" si="29"/>
        <v>1</v>
      </c>
      <c r="AG8" s="17">
        <f t="shared" si="30"/>
        <v>1</v>
      </c>
      <c r="AH8" s="17">
        <f t="shared" si="31"/>
        <v>1</v>
      </c>
      <c r="AI8" s="17">
        <f t="shared" si="32"/>
        <v>1</v>
      </c>
      <c r="AJ8" s="17">
        <f t="shared" si="33"/>
        <v>1</v>
      </c>
      <c r="AL8" s="21">
        <f t="shared" si="34"/>
        <v>2</v>
      </c>
      <c r="AM8" s="21">
        <f t="shared" si="35"/>
        <v>12</v>
      </c>
      <c r="AN8" s="22">
        <f t="shared" si="36"/>
        <v>71.428571428571431</v>
      </c>
    </row>
    <row r="9" spans="1:40" x14ac:dyDescent="0.25">
      <c r="A9" s="25">
        <v>107</v>
      </c>
      <c r="B9" s="9">
        <v>4</v>
      </c>
      <c r="C9" s="9">
        <v>4</v>
      </c>
      <c r="D9" s="9">
        <v>4</v>
      </c>
      <c r="E9" s="9">
        <v>4</v>
      </c>
      <c r="F9" s="9">
        <v>3</v>
      </c>
      <c r="G9" s="9">
        <v>4</v>
      </c>
      <c r="H9" s="9">
        <v>3</v>
      </c>
      <c r="I9" s="9">
        <v>3</v>
      </c>
      <c r="J9" s="9">
        <v>3</v>
      </c>
      <c r="K9" s="9">
        <v>3</v>
      </c>
      <c r="L9" s="9">
        <v>2</v>
      </c>
      <c r="M9" s="9">
        <v>2</v>
      </c>
      <c r="N9" s="10" t="s">
        <v>94</v>
      </c>
      <c r="O9" s="10" t="s">
        <v>91</v>
      </c>
      <c r="Q9" s="19">
        <f t="shared" si="14"/>
        <v>0</v>
      </c>
      <c r="R9" s="19">
        <f t="shared" si="15"/>
        <v>0</v>
      </c>
      <c r="S9" s="19">
        <f t="shared" si="16"/>
        <v>0</v>
      </c>
      <c r="T9" s="19">
        <f t="shared" si="17"/>
        <v>0</v>
      </c>
      <c r="U9" s="19">
        <f t="shared" si="18"/>
        <v>1</v>
      </c>
      <c r="V9" s="19">
        <f t="shared" si="19"/>
        <v>0</v>
      </c>
      <c r="W9" s="19">
        <f t="shared" si="20"/>
        <v>1</v>
      </c>
      <c r="X9" s="19">
        <f t="shared" si="21"/>
        <v>1</v>
      </c>
      <c r="Y9" s="19">
        <f t="shared" si="22"/>
        <v>1</v>
      </c>
      <c r="Z9" s="19">
        <f t="shared" si="23"/>
        <v>1</v>
      </c>
      <c r="AA9" s="17">
        <f t="shared" si="24"/>
        <v>1</v>
      </c>
      <c r="AB9" s="17">
        <f t="shared" si="25"/>
        <v>1</v>
      </c>
      <c r="AC9" s="17">
        <f t="shared" si="26"/>
        <v>1</v>
      </c>
      <c r="AD9" s="17">
        <f t="shared" si="27"/>
        <v>1</v>
      </c>
      <c r="AE9" s="17">
        <f t="shared" si="28"/>
        <v>1</v>
      </c>
      <c r="AF9" s="17">
        <f t="shared" si="29"/>
        <v>1</v>
      </c>
      <c r="AG9" s="17">
        <f t="shared" si="30"/>
        <v>1</v>
      </c>
      <c r="AH9" s="17">
        <f t="shared" si="31"/>
        <v>1</v>
      </c>
      <c r="AI9" s="17">
        <f t="shared" si="32"/>
        <v>1</v>
      </c>
      <c r="AJ9" s="17">
        <f t="shared" si="33"/>
        <v>1</v>
      </c>
      <c r="AL9" s="21">
        <f t="shared" si="34"/>
        <v>5</v>
      </c>
      <c r="AM9" s="21">
        <f t="shared" si="35"/>
        <v>10</v>
      </c>
      <c r="AN9" s="22">
        <f t="shared" si="36"/>
        <v>33.333333333333329</v>
      </c>
    </row>
    <row r="10" spans="1:40" x14ac:dyDescent="0.25">
      <c r="A10" s="25">
        <v>108</v>
      </c>
      <c r="B10" s="9">
        <v>5</v>
      </c>
      <c r="C10" s="9">
        <v>5</v>
      </c>
      <c r="D10" s="9">
        <v>4</v>
      </c>
      <c r="E10" s="9">
        <v>4</v>
      </c>
      <c r="F10" s="9">
        <v>4</v>
      </c>
      <c r="G10" s="9">
        <v>4</v>
      </c>
      <c r="H10" s="9">
        <v>3</v>
      </c>
      <c r="I10" s="9">
        <v>3</v>
      </c>
      <c r="J10" s="9">
        <v>4</v>
      </c>
      <c r="K10" s="9">
        <v>3</v>
      </c>
      <c r="L10" s="9">
        <v>2</v>
      </c>
      <c r="M10" s="9">
        <v>2</v>
      </c>
      <c r="N10" s="10" t="s">
        <v>94</v>
      </c>
      <c r="O10" s="10" t="s">
        <v>91</v>
      </c>
      <c r="Q10" s="19">
        <f t="shared" si="14"/>
        <v>0</v>
      </c>
      <c r="R10" s="19">
        <f t="shared" si="15"/>
        <v>0</v>
      </c>
      <c r="S10" s="19">
        <f t="shared" si="16"/>
        <v>0</v>
      </c>
      <c r="T10" s="19">
        <f t="shared" si="17"/>
        <v>0</v>
      </c>
      <c r="U10" s="19">
        <f t="shared" si="18"/>
        <v>0</v>
      </c>
      <c r="V10" s="19">
        <f t="shared" si="19"/>
        <v>0</v>
      </c>
      <c r="W10" s="19">
        <f t="shared" si="20"/>
        <v>1</v>
      </c>
      <c r="X10" s="19">
        <f t="shared" si="21"/>
        <v>1</v>
      </c>
      <c r="Y10" s="19">
        <f t="shared" si="22"/>
        <v>0</v>
      </c>
      <c r="Z10" s="19">
        <f t="shared" si="23"/>
        <v>1</v>
      </c>
      <c r="AA10" s="17">
        <f t="shared" si="24"/>
        <v>2</v>
      </c>
      <c r="AB10" s="17">
        <f t="shared" si="25"/>
        <v>2</v>
      </c>
      <c r="AC10" s="17">
        <f t="shared" si="26"/>
        <v>1</v>
      </c>
      <c r="AD10" s="17">
        <f t="shared" si="27"/>
        <v>1</v>
      </c>
      <c r="AE10" s="17">
        <f t="shared" si="28"/>
        <v>1</v>
      </c>
      <c r="AF10" s="17">
        <f t="shared" si="29"/>
        <v>1</v>
      </c>
      <c r="AG10" s="17">
        <f t="shared" si="30"/>
        <v>1</v>
      </c>
      <c r="AH10" s="17">
        <f t="shared" si="31"/>
        <v>1</v>
      </c>
      <c r="AI10" s="17">
        <f t="shared" si="32"/>
        <v>1</v>
      </c>
      <c r="AJ10" s="17">
        <f t="shared" si="33"/>
        <v>1</v>
      </c>
      <c r="AL10" s="21">
        <f t="shared" si="34"/>
        <v>3</v>
      </c>
      <c r="AM10" s="21">
        <f t="shared" si="35"/>
        <v>12</v>
      </c>
      <c r="AN10" s="22">
        <f t="shared" si="36"/>
        <v>60</v>
      </c>
    </row>
    <row r="11" spans="1:40" x14ac:dyDescent="0.25">
      <c r="A11" s="25">
        <v>109</v>
      </c>
      <c r="B11" s="9">
        <v>5</v>
      </c>
      <c r="C11" s="9">
        <v>5</v>
      </c>
      <c r="D11" s="9">
        <v>5</v>
      </c>
      <c r="E11" s="9">
        <v>5</v>
      </c>
      <c r="F11" s="9">
        <v>5</v>
      </c>
      <c r="G11" s="9">
        <v>5</v>
      </c>
      <c r="H11" s="9">
        <v>5</v>
      </c>
      <c r="I11" s="9">
        <v>5</v>
      </c>
      <c r="J11" s="9">
        <v>5</v>
      </c>
      <c r="K11" s="9">
        <v>5</v>
      </c>
      <c r="L11" s="9">
        <v>2</v>
      </c>
      <c r="M11" s="9">
        <v>2</v>
      </c>
      <c r="N11" s="10" t="s">
        <v>94</v>
      </c>
      <c r="O11" s="10" t="s">
        <v>91</v>
      </c>
      <c r="P11" s="9"/>
      <c r="Q11" s="19">
        <f t="shared" si="14"/>
        <v>0</v>
      </c>
      <c r="R11" s="19">
        <f t="shared" si="15"/>
        <v>0</v>
      </c>
      <c r="S11" s="19">
        <f t="shared" si="16"/>
        <v>0</v>
      </c>
      <c r="T11" s="19">
        <f t="shared" si="17"/>
        <v>0</v>
      </c>
      <c r="U11" s="19">
        <f t="shared" si="18"/>
        <v>0</v>
      </c>
      <c r="V11" s="19">
        <f t="shared" si="19"/>
        <v>0</v>
      </c>
      <c r="W11" s="19">
        <f t="shared" si="20"/>
        <v>0</v>
      </c>
      <c r="X11" s="19">
        <f t="shared" si="21"/>
        <v>0</v>
      </c>
      <c r="Y11" s="19">
        <f t="shared" si="22"/>
        <v>0</v>
      </c>
      <c r="Z11" s="19">
        <f t="shared" si="23"/>
        <v>0</v>
      </c>
      <c r="AA11" s="17">
        <f t="shared" si="24"/>
        <v>2</v>
      </c>
      <c r="AB11" s="17">
        <f t="shared" si="25"/>
        <v>2</v>
      </c>
      <c r="AC11" s="17">
        <f t="shared" si="26"/>
        <v>2</v>
      </c>
      <c r="AD11" s="17">
        <f t="shared" si="27"/>
        <v>2</v>
      </c>
      <c r="AE11" s="17">
        <f t="shared" si="28"/>
        <v>2</v>
      </c>
      <c r="AF11" s="17">
        <f t="shared" si="29"/>
        <v>2</v>
      </c>
      <c r="AG11" s="17">
        <f t="shared" si="30"/>
        <v>2</v>
      </c>
      <c r="AH11" s="17">
        <f t="shared" si="31"/>
        <v>2</v>
      </c>
      <c r="AI11" s="17">
        <f t="shared" si="32"/>
        <v>2</v>
      </c>
      <c r="AJ11" s="17">
        <f t="shared" si="33"/>
        <v>2</v>
      </c>
      <c r="AL11" s="21">
        <f t="shared" si="34"/>
        <v>0</v>
      </c>
      <c r="AM11" s="21">
        <f t="shared" si="35"/>
        <v>20</v>
      </c>
      <c r="AN11" s="22">
        <f t="shared" si="36"/>
        <v>100</v>
      </c>
    </row>
    <row r="12" spans="1:40" x14ac:dyDescent="0.25">
      <c r="A12" s="25">
        <v>110</v>
      </c>
      <c r="B12" s="9">
        <v>5</v>
      </c>
      <c r="C12" s="9">
        <v>5</v>
      </c>
      <c r="D12" s="9">
        <v>5</v>
      </c>
      <c r="E12" s="9">
        <v>5</v>
      </c>
      <c r="F12" s="9">
        <v>5</v>
      </c>
      <c r="G12" s="9">
        <v>5</v>
      </c>
      <c r="H12" s="9">
        <v>5</v>
      </c>
      <c r="I12" s="9">
        <v>2</v>
      </c>
      <c r="J12" s="9">
        <v>4</v>
      </c>
      <c r="K12" s="9">
        <v>4</v>
      </c>
      <c r="L12" s="9">
        <v>2</v>
      </c>
      <c r="M12" s="9">
        <v>2</v>
      </c>
      <c r="N12" s="10" t="s">
        <v>95</v>
      </c>
      <c r="O12" s="10" t="s">
        <v>91</v>
      </c>
      <c r="Q12" s="19">
        <f t="shared" si="14"/>
        <v>0</v>
      </c>
      <c r="R12" s="19">
        <f t="shared" si="15"/>
        <v>0</v>
      </c>
      <c r="S12" s="19">
        <f t="shared" si="16"/>
        <v>0</v>
      </c>
      <c r="T12" s="19">
        <f t="shared" si="17"/>
        <v>0</v>
      </c>
      <c r="U12" s="19">
        <f t="shared" si="18"/>
        <v>0</v>
      </c>
      <c r="V12" s="19">
        <f t="shared" si="19"/>
        <v>0</v>
      </c>
      <c r="W12" s="19">
        <f t="shared" si="20"/>
        <v>0</v>
      </c>
      <c r="X12" s="19">
        <f t="shared" si="21"/>
        <v>1</v>
      </c>
      <c r="Y12" s="19">
        <f t="shared" si="22"/>
        <v>0</v>
      </c>
      <c r="Z12" s="19">
        <f t="shared" si="23"/>
        <v>0</v>
      </c>
      <c r="AA12" s="17">
        <f t="shared" si="24"/>
        <v>2</v>
      </c>
      <c r="AB12" s="17">
        <f t="shared" si="25"/>
        <v>2</v>
      </c>
      <c r="AC12" s="17">
        <f t="shared" si="26"/>
        <v>2</v>
      </c>
      <c r="AD12" s="17">
        <f t="shared" si="27"/>
        <v>2</v>
      </c>
      <c r="AE12" s="17">
        <f t="shared" si="28"/>
        <v>2</v>
      </c>
      <c r="AF12" s="17">
        <f t="shared" si="29"/>
        <v>2</v>
      </c>
      <c r="AG12" s="17">
        <f t="shared" si="30"/>
        <v>2</v>
      </c>
      <c r="AH12" s="17">
        <f t="shared" si="31"/>
        <v>0</v>
      </c>
      <c r="AI12" s="17">
        <f t="shared" si="32"/>
        <v>1</v>
      </c>
      <c r="AJ12" s="17">
        <f t="shared" si="33"/>
        <v>1</v>
      </c>
      <c r="AL12" s="21">
        <f t="shared" si="34"/>
        <v>1</v>
      </c>
      <c r="AM12" s="21">
        <f t="shared" si="35"/>
        <v>16</v>
      </c>
      <c r="AN12" s="22">
        <f t="shared" si="36"/>
        <v>88.235294117647058</v>
      </c>
    </row>
    <row r="13" spans="1:40" x14ac:dyDescent="0.25">
      <c r="A13" s="25">
        <v>111</v>
      </c>
      <c r="B13" s="9">
        <v>5</v>
      </c>
      <c r="C13" s="9">
        <v>5</v>
      </c>
      <c r="D13" s="9">
        <v>4</v>
      </c>
      <c r="E13" s="9">
        <v>5</v>
      </c>
      <c r="F13" s="9">
        <v>4</v>
      </c>
      <c r="G13" s="9">
        <v>5</v>
      </c>
      <c r="H13" s="9">
        <v>4</v>
      </c>
      <c r="I13" s="9">
        <v>5</v>
      </c>
      <c r="J13" s="9">
        <v>5</v>
      </c>
      <c r="K13" s="9">
        <v>3</v>
      </c>
      <c r="L13" s="9">
        <v>2</v>
      </c>
      <c r="M13" s="9">
        <v>2</v>
      </c>
      <c r="N13" s="10" t="s">
        <v>94</v>
      </c>
      <c r="O13" s="10" t="s">
        <v>91</v>
      </c>
      <c r="Q13" s="19">
        <f t="shared" si="14"/>
        <v>0</v>
      </c>
      <c r="R13" s="19">
        <f t="shared" si="15"/>
        <v>0</v>
      </c>
      <c r="S13" s="19">
        <f t="shared" si="16"/>
        <v>0</v>
      </c>
      <c r="T13" s="19">
        <f t="shared" si="17"/>
        <v>0</v>
      </c>
      <c r="U13" s="19">
        <f t="shared" si="18"/>
        <v>0</v>
      </c>
      <c r="V13" s="19">
        <f t="shared" si="19"/>
        <v>0</v>
      </c>
      <c r="W13" s="19">
        <f t="shared" si="20"/>
        <v>0</v>
      </c>
      <c r="X13" s="19">
        <f t="shared" si="21"/>
        <v>0</v>
      </c>
      <c r="Y13" s="19">
        <f t="shared" si="22"/>
        <v>0</v>
      </c>
      <c r="Z13" s="19">
        <f t="shared" si="23"/>
        <v>1</v>
      </c>
      <c r="AA13" s="17">
        <f t="shared" si="24"/>
        <v>2</v>
      </c>
      <c r="AB13" s="17">
        <f t="shared" si="25"/>
        <v>2</v>
      </c>
      <c r="AC13" s="17">
        <f t="shared" si="26"/>
        <v>1</v>
      </c>
      <c r="AD13" s="17">
        <f t="shared" si="27"/>
        <v>2</v>
      </c>
      <c r="AE13" s="17">
        <f t="shared" si="28"/>
        <v>1</v>
      </c>
      <c r="AF13" s="17">
        <f t="shared" si="29"/>
        <v>2</v>
      </c>
      <c r="AG13" s="17">
        <f t="shared" si="30"/>
        <v>1</v>
      </c>
      <c r="AH13" s="17">
        <f t="shared" si="31"/>
        <v>2</v>
      </c>
      <c r="AI13" s="17">
        <f t="shared" si="32"/>
        <v>2</v>
      </c>
      <c r="AJ13" s="17">
        <f t="shared" si="33"/>
        <v>1</v>
      </c>
      <c r="AL13" s="21">
        <f t="shared" si="34"/>
        <v>1</v>
      </c>
      <c r="AM13" s="21">
        <f t="shared" si="35"/>
        <v>16</v>
      </c>
      <c r="AN13" s="22">
        <f t="shared" si="36"/>
        <v>88.235294117647058</v>
      </c>
    </row>
    <row r="14" spans="1:40" x14ac:dyDescent="0.25">
      <c r="A14" s="25">
        <v>112</v>
      </c>
      <c r="B14" s="9">
        <v>5</v>
      </c>
      <c r="C14" s="9">
        <v>5</v>
      </c>
      <c r="D14" s="9">
        <v>4</v>
      </c>
      <c r="E14" s="9">
        <v>4</v>
      </c>
      <c r="F14" s="9">
        <v>4</v>
      </c>
      <c r="G14" s="9">
        <v>4</v>
      </c>
      <c r="H14" s="9">
        <v>4</v>
      </c>
      <c r="I14" s="9">
        <v>3</v>
      </c>
      <c r="J14" s="9">
        <v>5</v>
      </c>
      <c r="K14" s="9">
        <v>4</v>
      </c>
      <c r="L14" s="9">
        <v>2</v>
      </c>
      <c r="M14" s="9">
        <v>2</v>
      </c>
      <c r="N14" s="10" t="s">
        <v>94</v>
      </c>
      <c r="O14" s="10" t="s">
        <v>91</v>
      </c>
      <c r="Q14" s="19">
        <f t="shared" si="14"/>
        <v>0</v>
      </c>
      <c r="R14" s="19">
        <f t="shared" si="15"/>
        <v>0</v>
      </c>
      <c r="S14" s="19">
        <f t="shared" si="16"/>
        <v>0</v>
      </c>
      <c r="T14" s="19">
        <f t="shared" si="17"/>
        <v>0</v>
      </c>
      <c r="U14" s="19">
        <f t="shared" si="18"/>
        <v>0</v>
      </c>
      <c r="V14" s="19">
        <f t="shared" si="19"/>
        <v>0</v>
      </c>
      <c r="W14" s="19">
        <f t="shared" si="20"/>
        <v>0</v>
      </c>
      <c r="X14" s="19">
        <f t="shared" si="21"/>
        <v>1</v>
      </c>
      <c r="Y14" s="19">
        <f t="shared" si="22"/>
        <v>0</v>
      </c>
      <c r="Z14" s="19">
        <f t="shared" si="23"/>
        <v>0</v>
      </c>
      <c r="AA14" s="17">
        <f t="shared" si="24"/>
        <v>2</v>
      </c>
      <c r="AB14" s="17">
        <f t="shared" si="25"/>
        <v>2</v>
      </c>
      <c r="AC14" s="17">
        <f t="shared" si="26"/>
        <v>1</v>
      </c>
      <c r="AD14" s="17">
        <f t="shared" si="27"/>
        <v>1</v>
      </c>
      <c r="AE14" s="17">
        <f t="shared" si="28"/>
        <v>1</v>
      </c>
      <c r="AF14" s="17">
        <f t="shared" si="29"/>
        <v>1</v>
      </c>
      <c r="AG14" s="17">
        <f t="shared" si="30"/>
        <v>1</v>
      </c>
      <c r="AH14" s="17">
        <f t="shared" si="31"/>
        <v>1</v>
      </c>
      <c r="AI14" s="17">
        <f t="shared" si="32"/>
        <v>2</v>
      </c>
      <c r="AJ14" s="17">
        <f t="shared" si="33"/>
        <v>1</v>
      </c>
      <c r="AL14" s="21">
        <f t="shared" si="34"/>
        <v>1</v>
      </c>
      <c r="AM14" s="21">
        <f t="shared" si="35"/>
        <v>13</v>
      </c>
      <c r="AN14" s="22">
        <f t="shared" si="36"/>
        <v>85.714285714285708</v>
      </c>
    </row>
    <row r="15" spans="1:40" x14ac:dyDescent="0.25">
      <c r="A15" s="25">
        <v>113</v>
      </c>
      <c r="B15" s="9">
        <v>5</v>
      </c>
      <c r="C15" s="9">
        <v>5</v>
      </c>
      <c r="D15" s="9">
        <v>5</v>
      </c>
      <c r="E15" s="9">
        <v>5</v>
      </c>
      <c r="F15" s="9">
        <v>5</v>
      </c>
      <c r="G15" s="9">
        <v>5</v>
      </c>
      <c r="H15" s="9">
        <v>5</v>
      </c>
      <c r="I15" s="9">
        <v>5</v>
      </c>
      <c r="J15" s="9">
        <v>5</v>
      </c>
      <c r="K15" s="9">
        <v>5</v>
      </c>
      <c r="L15" s="9">
        <v>2</v>
      </c>
      <c r="M15" s="9">
        <v>1</v>
      </c>
      <c r="N15" s="10" t="s">
        <v>90</v>
      </c>
      <c r="O15" s="10" t="s">
        <v>91</v>
      </c>
      <c r="Q15" s="19">
        <f t="shared" si="14"/>
        <v>0</v>
      </c>
      <c r="R15" s="19">
        <f t="shared" si="15"/>
        <v>0</v>
      </c>
      <c r="S15" s="19">
        <f t="shared" si="16"/>
        <v>0</v>
      </c>
      <c r="T15" s="19">
        <f t="shared" si="17"/>
        <v>0</v>
      </c>
      <c r="U15" s="19">
        <f t="shared" si="18"/>
        <v>0</v>
      </c>
      <c r="V15" s="19">
        <f t="shared" si="19"/>
        <v>0</v>
      </c>
      <c r="W15" s="19">
        <f t="shared" si="20"/>
        <v>0</v>
      </c>
      <c r="X15" s="19">
        <f t="shared" si="21"/>
        <v>0</v>
      </c>
      <c r="Y15" s="19">
        <f t="shared" si="22"/>
        <v>0</v>
      </c>
      <c r="Z15" s="19">
        <f t="shared" si="23"/>
        <v>0</v>
      </c>
      <c r="AA15" s="17">
        <f t="shared" si="24"/>
        <v>2</v>
      </c>
      <c r="AB15" s="17">
        <f t="shared" si="25"/>
        <v>2</v>
      </c>
      <c r="AC15" s="17">
        <f t="shared" si="26"/>
        <v>2</v>
      </c>
      <c r="AD15" s="17">
        <f t="shared" si="27"/>
        <v>2</v>
      </c>
      <c r="AE15" s="17">
        <f t="shared" si="28"/>
        <v>2</v>
      </c>
      <c r="AF15" s="17">
        <f t="shared" si="29"/>
        <v>2</v>
      </c>
      <c r="AG15" s="17">
        <f t="shared" si="30"/>
        <v>2</v>
      </c>
      <c r="AH15" s="17">
        <f t="shared" si="31"/>
        <v>2</v>
      </c>
      <c r="AI15" s="17">
        <f t="shared" si="32"/>
        <v>2</v>
      </c>
      <c r="AJ15" s="17">
        <f t="shared" si="33"/>
        <v>2</v>
      </c>
      <c r="AL15" s="21">
        <f t="shared" si="34"/>
        <v>0</v>
      </c>
      <c r="AM15" s="21">
        <f t="shared" si="35"/>
        <v>20</v>
      </c>
      <c r="AN15" s="22">
        <f t="shared" si="36"/>
        <v>100</v>
      </c>
    </row>
    <row r="16" spans="1:40" x14ac:dyDescent="0.25">
      <c r="A16" s="25">
        <v>114</v>
      </c>
      <c r="B16" s="9">
        <v>5</v>
      </c>
      <c r="C16" s="9">
        <v>5</v>
      </c>
      <c r="D16" s="9">
        <v>4</v>
      </c>
      <c r="E16" s="9">
        <v>5</v>
      </c>
      <c r="F16" s="9">
        <v>4</v>
      </c>
      <c r="G16" s="9">
        <v>5</v>
      </c>
      <c r="H16" s="9">
        <v>4</v>
      </c>
      <c r="I16" s="9">
        <v>3</v>
      </c>
      <c r="J16" s="9">
        <v>5</v>
      </c>
      <c r="K16" s="9">
        <v>3</v>
      </c>
      <c r="L16" s="9">
        <v>2</v>
      </c>
      <c r="M16" s="9">
        <v>2</v>
      </c>
      <c r="N16" s="10" t="s">
        <v>94</v>
      </c>
      <c r="O16" s="10" t="s">
        <v>91</v>
      </c>
      <c r="Q16" s="19">
        <f t="shared" si="14"/>
        <v>0</v>
      </c>
      <c r="R16" s="19">
        <f t="shared" si="15"/>
        <v>0</v>
      </c>
      <c r="S16" s="19">
        <f t="shared" si="16"/>
        <v>0</v>
      </c>
      <c r="T16" s="19">
        <f t="shared" si="17"/>
        <v>0</v>
      </c>
      <c r="U16" s="19">
        <f t="shared" si="18"/>
        <v>0</v>
      </c>
      <c r="V16" s="19">
        <f t="shared" si="19"/>
        <v>0</v>
      </c>
      <c r="W16" s="19">
        <f t="shared" si="20"/>
        <v>0</v>
      </c>
      <c r="X16" s="19">
        <f t="shared" si="21"/>
        <v>1</v>
      </c>
      <c r="Y16" s="19">
        <f t="shared" si="22"/>
        <v>0</v>
      </c>
      <c r="Z16" s="19">
        <f t="shared" si="23"/>
        <v>1</v>
      </c>
      <c r="AA16" s="17">
        <f t="shared" si="24"/>
        <v>2</v>
      </c>
      <c r="AB16" s="17">
        <f t="shared" si="25"/>
        <v>2</v>
      </c>
      <c r="AC16" s="17">
        <f t="shared" si="26"/>
        <v>1</v>
      </c>
      <c r="AD16" s="17">
        <f t="shared" si="27"/>
        <v>2</v>
      </c>
      <c r="AE16" s="17">
        <f t="shared" si="28"/>
        <v>1</v>
      </c>
      <c r="AF16" s="17">
        <f t="shared" si="29"/>
        <v>2</v>
      </c>
      <c r="AG16" s="17">
        <f t="shared" si="30"/>
        <v>1</v>
      </c>
      <c r="AH16" s="17">
        <f t="shared" si="31"/>
        <v>1</v>
      </c>
      <c r="AI16" s="17">
        <f t="shared" si="32"/>
        <v>2</v>
      </c>
      <c r="AJ16" s="17">
        <f t="shared" si="33"/>
        <v>1</v>
      </c>
      <c r="AL16" s="21">
        <f t="shared" si="34"/>
        <v>2</v>
      </c>
      <c r="AM16" s="21">
        <f t="shared" si="35"/>
        <v>15</v>
      </c>
      <c r="AN16" s="22">
        <f t="shared" si="36"/>
        <v>76.470588235294116</v>
      </c>
    </row>
    <row r="17" spans="1:40" x14ac:dyDescent="0.25">
      <c r="A17" s="25">
        <v>115</v>
      </c>
      <c r="B17" s="9">
        <v>5</v>
      </c>
      <c r="C17" s="9">
        <v>5</v>
      </c>
      <c r="D17" s="9">
        <v>4</v>
      </c>
      <c r="E17" s="9">
        <v>5</v>
      </c>
      <c r="F17" s="9">
        <v>5</v>
      </c>
      <c r="G17" s="9">
        <v>4</v>
      </c>
      <c r="H17" s="9">
        <v>4</v>
      </c>
      <c r="I17" s="9">
        <v>5</v>
      </c>
      <c r="J17" s="9">
        <v>4</v>
      </c>
      <c r="K17" s="9">
        <v>4</v>
      </c>
      <c r="L17" s="9">
        <v>2</v>
      </c>
      <c r="M17" s="9">
        <v>2</v>
      </c>
      <c r="N17" s="10" t="s">
        <v>94</v>
      </c>
      <c r="O17" s="10" t="s">
        <v>91</v>
      </c>
      <c r="Q17" s="19">
        <f t="shared" si="14"/>
        <v>0</v>
      </c>
      <c r="R17" s="19">
        <f t="shared" si="15"/>
        <v>0</v>
      </c>
      <c r="S17" s="19">
        <f t="shared" si="16"/>
        <v>0</v>
      </c>
      <c r="T17" s="19">
        <f t="shared" si="17"/>
        <v>0</v>
      </c>
      <c r="U17" s="19">
        <f t="shared" si="18"/>
        <v>0</v>
      </c>
      <c r="V17" s="19">
        <f t="shared" si="19"/>
        <v>0</v>
      </c>
      <c r="W17" s="19">
        <f t="shared" si="20"/>
        <v>0</v>
      </c>
      <c r="X17" s="19">
        <f t="shared" si="21"/>
        <v>0</v>
      </c>
      <c r="Y17" s="19">
        <f t="shared" si="22"/>
        <v>0</v>
      </c>
      <c r="Z17" s="19">
        <f t="shared" si="23"/>
        <v>0</v>
      </c>
      <c r="AA17" s="17">
        <f t="shared" si="24"/>
        <v>2</v>
      </c>
      <c r="AB17" s="17">
        <f t="shared" si="25"/>
        <v>2</v>
      </c>
      <c r="AC17" s="17">
        <f t="shared" si="26"/>
        <v>1</v>
      </c>
      <c r="AD17" s="17">
        <f t="shared" si="27"/>
        <v>2</v>
      </c>
      <c r="AE17" s="17">
        <f t="shared" si="28"/>
        <v>2</v>
      </c>
      <c r="AF17" s="17">
        <f t="shared" si="29"/>
        <v>1</v>
      </c>
      <c r="AG17" s="17">
        <f t="shared" si="30"/>
        <v>1</v>
      </c>
      <c r="AH17" s="17">
        <f t="shared" si="31"/>
        <v>2</v>
      </c>
      <c r="AI17" s="17">
        <f t="shared" si="32"/>
        <v>1</v>
      </c>
      <c r="AJ17" s="17">
        <f t="shared" si="33"/>
        <v>1</v>
      </c>
      <c r="AL17" s="21">
        <f t="shared" si="34"/>
        <v>0</v>
      </c>
      <c r="AM17" s="21">
        <f t="shared" si="35"/>
        <v>15</v>
      </c>
      <c r="AN17" s="22">
        <f t="shared" si="36"/>
        <v>100</v>
      </c>
    </row>
    <row r="18" spans="1:40" x14ac:dyDescent="0.25">
      <c r="A18" s="25">
        <v>116</v>
      </c>
      <c r="B18" s="9">
        <v>4</v>
      </c>
      <c r="C18" s="9">
        <v>4</v>
      </c>
      <c r="D18" s="9">
        <v>4</v>
      </c>
      <c r="E18" s="9">
        <v>4</v>
      </c>
      <c r="F18" s="9">
        <v>4</v>
      </c>
      <c r="G18" s="9">
        <v>4</v>
      </c>
      <c r="H18" s="9">
        <v>4</v>
      </c>
      <c r="I18" s="9">
        <v>4</v>
      </c>
      <c r="J18" s="9">
        <v>4</v>
      </c>
      <c r="K18" s="9">
        <v>4</v>
      </c>
      <c r="L18" s="9">
        <v>2</v>
      </c>
      <c r="M18" s="9">
        <v>2</v>
      </c>
      <c r="N18" s="10" t="s">
        <v>90</v>
      </c>
      <c r="O18" s="10" t="s">
        <v>91</v>
      </c>
      <c r="Q18" s="19">
        <f t="shared" si="14"/>
        <v>0</v>
      </c>
      <c r="R18" s="19">
        <f t="shared" si="15"/>
        <v>0</v>
      </c>
      <c r="S18" s="19">
        <f t="shared" si="16"/>
        <v>0</v>
      </c>
      <c r="T18" s="19">
        <f t="shared" si="17"/>
        <v>0</v>
      </c>
      <c r="U18" s="19">
        <f t="shared" si="18"/>
        <v>0</v>
      </c>
      <c r="V18" s="19">
        <f t="shared" si="19"/>
        <v>0</v>
      </c>
      <c r="W18" s="19">
        <f t="shared" si="20"/>
        <v>0</v>
      </c>
      <c r="X18" s="19">
        <f t="shared" si="21"/>
        <v>0</v>
      </c>
      <c r="Y18" s="19">
        <f t="shared" si="22"/>
        <v>0</v>
      </c>
      <c r="Z18" s="19">
        <f t="shared" si="23"/>
        <v>0</v>
      </c>
      <c r="AA18" s="17">
        <f t="shared" si="24"/>
        <v>1</v>
      </c>
      <c r="AB18" s="17">
        <f t="shared" si="25"/>
        <v>1</v>
      </c>
      <c r="AC18" s="17">
        <f t="shared" si="26"/>
        <v>1</v>
      </c>
      <c r="AD18" s="17">
        <f t="shared" si="27"/>
        <v>1</v>
      </c>
      <c r="AE18" s="17">
        <f t="shared" si="28"/>
        <v>1</v>
      </c>
      <c r="AF18" s="17">
        <f t="shared" si="29"/>
        <v>1</v>
      </c>
      <c r="AG18" s="17">
        <f t="shared" si="30"/>
        <v>1</v>
      </c>
      <c r="AH18" s="17">
        <f t="shared" si="31"/>
        <v>1</v>
      </c>
      <c r="AI18" s="17">
        <f t="shared" si="32"/>
        <v>1</v>
      </c>
      <c r="AJ18" s="17">
        <f t="shared" si="33"/>
        <v>1</v>
      </c>
      <c r="AL18" s="21">
        <f t="shared" si="34"/>
        <v>0</v>
      </c>
      <c r="AM18" s="21">
        <f t="shared" si="35"/>
        <v>10</v>
      </c>
      <c r="AN18" s="22">
        <f t="shared" si="36"/>
        <v>100</v>
      </c>
    </row>
    <row r="19" spans="1:40" x14ac:dyDescent="0.25">
      <c r="A19" s="25">
        <v>117</v>
      </c>
      <c r="B19" s="9">
        <v>5</v>
      </c>
      <c r="C19" s="9">
        <v>5</v>
      </c>
      <c r="D19" s="9">
        <v>5</v>
      </c>
      <c r="E19" s="9">
        <v>5</v>
      </c>
      <c r="F19" s="9">
        <v>5</v>
      </c>
      <c r="G19" s="9">
        <v>4</v>
      </c>
      <c r="H19" s="9">
        <v>5</v>
      </c>
      <c r="I19" s="9">
        <v>3</v>
      </c>
      <c r="J19" s="9">
        <v>5</v>
      </c>
      <c r="K19" s="9">
        <v>4</v>
      </c>
      <c r="L19" s="9">
        <v>2</v>
      </c>
      <c r="M19" s="9">
        <v>1</v>
      </c>
      <c r="N19" s="10" t="s">
        <v>94</v>
      </c>
      <c r="O19" s="10" t="s">
        <v>94</v>
      </c>
      <c r="Q19" s="19">
        <f t="shared" si="14"/>
        <v>0</v>
      </c>
      <c r="R19" s="19">
        <f t="shared" si="15"/>
        <v>0</v>
      </c>
      <c r="S19" s="19">
        <f t="shared" si="16"/>
        <v>0</v>
      </c>
      <c r="T19" s="19">
        <f t="shared" si="17"/>
        <v>0</v>
      </c>
      <c r="U19" s="19">
        <f t="shared" si="18"/>
        <v>0</v>
      </c>
      <c r="V19" s="19">
        <f t="shared" si="19"/>
        <v>0</v>
      </c>
      <c r="W19" s="19">
        <f t="shared" si="20"/>
        <v>0</v>
      </c>
      <c r="X19" s="19">
        <f t="shared" si="21"/>
        <v>1</v>
      </c>
      <c r="Y19" s="19">
        <f t="shared" si="22"/>
        <v>0</v>
      </c>
      <c r="Z19" s="19">
        <f t="shared" si="23"/>
        <v>0</v>
      </c>
      <c r="AA19" s="17">
        <f t="shared" si="24"/>
        <v>2</v>
      </c>
      <c r="AB19" s="17">
        <f t="shared" si="25"/>
        <v>2</v>
      </c>
      <c r="AC19" s="17">
        <f t="shared" si="26"/>
        <v>2</v>
      </c>
      <c r="AD19" s="17">
        <f t="shared" si="27"/>
        <v>2</v>
      </c>
      <c r="AE19" s="17">
        <f t="shared" si="28"/>
        <v>2</v>
      </c>
      <c r="AF19" s="17">
        <f t="shared" si="29"/>
        <v>1</v>
      </c>
      <c r="AG19" s="17">
        <f t="shared" si="30"/>
        <v>2</v>
      </c>
      <c r="AH19" s="17">
        <f t="shared" si="31"/>
        <v>1</v>
      </c>
      <c r="AI19" s="17">
        <f t="shared" si="32"/>
        <v>2</v>
      </c>
      <c r="AJ19" s="17">
        <f t="shared" si="33"/>
        <v>1</v>
      </c>
      <c r="AL19" s="21">
        <f t="shared" si="34"/>
        <v>1</v>
      </c>
      <c r="AM19" s="21">
        <f t="shared" si="35"/>
        <v>17</v>
      </c>
      <c r="AN19" s="22">
        <f t="shared" si="36"/>
        <v>88.888888888888886</v>
      </c>
    </row>
    <row r="20" spans="1:40" x14ac:dyDescent="0.25">
      <c r="A20" s="25">
        <v>118</v>
      </c>
      <c r="B20" s="9">
        <v>4</v>
      </c>
      <c r="C20" s="9">
        <v>4</v>
      </c>
      <c r="D20" s="9">
        <v>4</v>
      </c>
      <c r="E20" s="9">
        <v>4</v>
      </c>
      <c r="F20" s="9">
        <v>4</v>
      </c>
      <c r="G20" s="9">
        <v>4</v>
      </c>
      <c r="H20" s="9">
        <v>4</v>
      </c>
      <c r="I20" s="9">
        <v>1</v>
      </c>
      <c r="J20" s="9">
        <v>4</v>
      </c>
      <c r="K20" s="9">
        <v>4</v>
      </c>
      <c r="L20" s="9">
        <v>2</v>
      </c>
      <c r="M20" s="9">
        <v>2</v>
      </c>
      <c r="N20" s="10" t="s">
        <v>94</v>
      </c>
      <c r="O20" s="10" t="s">
        <v>91</v>
      </c>
      <c r="Q20" s="19">
        <f t="shared" si="14"/>
        <v>0</v>
      </c>
      <c r="R20" s="19">
        <f t="shared" si="15"/>
        <v>0</v>
      </c>
      <c r="S20" s="19">
        <f t="shared" si="16"/>
        <v>0</v>
      </c>
      <c r="T20" s="19">
        <f t="shared" si="17"/>
        <v>0</v>
      </c>
      <c r="U20" s="19">
        <f t="shared" si="18"/>
        <v>0</v>
      </c>
      <c r="V20" s="19">
        <f t="shared" si="19"/>
        <v>0</v>
      </c>
      <c r="W20" s="19">
        <f t="shared" si="20"/>
        <v>0</v>
      </c>
      <c r="X20" s="19">
        <f t="shared" si="21"/>
        <v>2</v>
      </c>
      <c r="Y20" s="19">
        <f t="shared" si="22"/>
        <v>0</v>
      </c>
      <c r="Z20" s="19">
        <f t="shared" si="23"/>
        <v>0</v>
      </c>
      <c r="AA20" s="17">
        <f t="shared" si="24"/>
        <v>1</v>
      </c>
      <c r="AB20" s="17">
        <f t="shared" si="25"/>
        <v>1</v>
      </c>
      <c r="AC20" s="17">
        <f t="shared" si="26"/>
        <v>1</v>
      </c>
      <c r="AD20" s="17">
        <f t="shared" si="27"/>
        <v>1</v>
      </c>
      <c r="AE20" s="17">
        <f t="shared" si="28"/>
        <v>1</v>
      </c>
      <c r="AF20" s="17">
        <f t="shared" si="29"/>
        <v>1</v>
      </c>
      <c r="AG20" s="17">
        <f t="shared" si="30"/>
        <v>1</v>
      </c>
      <c r="AH20" s="17">
        <f t="shared" si="31"/>
        <v>0</v>
      </c>
      <c r="AI20" s="17">
        <f t="shared" si="32"/>
        <v>1</v>
      </c>
      <c r="AJ20" s="17">
        <f t="shared" si="33"/>
        <v>1</v>
      </c>
      <c r="AL20" s="21">
        <f t="shared" si="34"/>
        <v>2</v>
      </c>
      <c r="AM20" s="21">
        <f t="shared" si="35"/>
        <v>9</v>
      </c>
      <c r="AN20" s="22">
        <f t="shared" si="36"/>
        <v>63.636363636363633</v>
      </c>
    </row>
    <row r="21" spans="1:40" x14ac:dyDescent="0.25">
      <c r="A21" s="25">
        <v>119</v>
      </c>
      <c r="B21" s="9">
        <v>5</v>
      </c>
      <c r="C21" s="9">
        <v>5</v>
      </c>
      <c r="D21" s="9">
        <v>4</v>
      </c>
      <c r="E21" s="9">
        <v>4</v>
      </c>
      <c r="F21" s="9">
        <v>4</v>
      </c>
      <c r="G21" s="9">
        <v>5</v>
      </c>
      <c r="H21" s="9">
        <v>4</v>
      </c>
      <c r="I21" s="9">
        <v>4</v>
      </c>
      <c r="J21" s="9">
        <v>4</v>
      </c>
      <c r="K21" s="9">
        <v>3</v>
      </c>
      <c r="L21" s="9">
        <v>2</v>
      </c>
      <c r="M21" s="9">
        <v>1</v>
      </c>
      <c r="N21" s="10" t="s">
        <v>94</v>
      </c>
      <c r="O21" s="10" t="s">
        <v>91</v>
      </c>
      <c r="Q21" s="19">
        <f t="shared" si="14"/>
        <v>0</v>
      </c>
      <c r="R21" s="19">
        <f t="shared" si="15"/>
        <v>0</v>
      </c>
      <c r="S21" s="19">
        <f t="shared" si="16"/>
        <v>0</v>
      </c>
      <c r="T21" s="19">
        <f t="shared" si="17"/>
        <v>0</v>
      </c>
      <c r="U21" s="19">
        <f t="shared" si="18"/>
        <v>0</v>
      </c>
      <c r="V21" s="19">
        <f t="shared" si="19"/>
        <v>0</v>
      </c>
      <c r="W21" s="19">
        <f t="shared" si="20"/>
        <v>0</v>
      </c>
      <c r="X21" s="19">
        <f t="shared" si="21"/>
        <v>0</v>
      </c>
      <c r="Y21" s="19">
        <f t="shared" si="22"/>
        <v>0</v>
      </c>
      <c r="Z21" s="19">
        <f t="shared" si="23"/>
        <v>1</v>
      </c>
      <c r="AA21" s="17">
        <f t="shared" si="24"/>
        <v>2</v>
      </c>
      <c r="AB21" s="17">
        <f t="shared" si="25"/>
        <v>2</v>
      </c>
      <c r="AC21" s="17">
        <f t="shared" si="26"/>
        <v>1</v>
      </c>
      <c r="AD21" s="17">
        <f t="shared" si="27"/>
        <v>1</v>
      </c>
      <c r="AE21" s="17">
        <f t="shared" si="28"/>
        <v>1</v>
      </c>
      <c r="AF21" s="17">
        <f t="shared" si="29"/>
        <v>2</v>
      </c>
      <c r="AG21" s="17">
        <f t="shared" si="30"/>
        <v>1</v>
      </c>
      <c r="AH21" s="17">
        <f t="shared" si="31"/>
        <v>1</v>
      </c>
      <c r="AI21" s="17">
        <f t="shared" si="32"/>
        <v>1</v>
      </c>
      <c r="AJ21" s="17">
        <f t="shared" si="33"/>
        <v>1</v>
      </c>
      <c r="AL21" s="21">
        <f t="shared" si="34"/>
        <v>1</v>
      </c>
      <c r="AM21" s="21">
        <f t="shared" si="35"/>
        <v>13</v>
      </c>
      <c r="AN21" s="22">
        <f t="shared" si="36"/>
        <v>85.714285714285708</v>
      </c>
    </row>
    <row r="22" spans="1:40" x14ac:dyDescent="0.25">
      <c r="A22" s="25">
        <v>120</v>
      </c>
      <c r="B22" s="9">
        <v>5</v>
      </c>
      <c r="C22" s="9">
        <v>5</v>
      </c>
      <c r="D22" s="9">
        <v>4</v>
      </c>
      <c r="E22" s="9">
        <v>5</v>
      </c>
      <c r="F22" s="9">
        <v>4</v>
      </c>
      <c r="G22" s="9">
        <v>5</v>
      </c>
      <c r="H22" s="9">
        <v>4</v>
      </c>
      <c r="I22" s="9">
        <v>4</v>
      </c>
      <c r="J22" s="9">
        <v>5</v>
      </c>
      <c r="K22" s="9">
        <v>4</v>
      </c>
      <c r="L22" s="9">
        <v>2</v>
      </c>
      <c r="M22" s="9">
        <v>2</v>
      </c>
      <c r="N22" s="10" t="s">
        <v>90</v>
      </c>
      <c r="O22" s="10" t="s">
        <v>91</v>
      </c>
      <c r="Q22" s="19">
        <f t="shared" si="14"/>
        <v>0</v>
      </c>
      <c r="R22" s="19">
        <f t="shared" si="15"/>
        <v>0</v>
      </c>
      <c r="S22" s="19">
        <f t="shared" si="16"/>
        <v>0</v>
      </c>
      <c r="T22" s="19">
        <f t="shared" si="17"/>
        <v>0</v>
      </c>
      <c r="U22" s="19">
        <f t="shared" si="18"/>
        <v>0</v>
      </c>
      <c r="V22" s="19">
        <f t="shared" si="19"/>
        <v>0</v>
      </c>
      <c r="W22" s="19">
        <f t="shared" si="20"/>
        <v>0</v>
      </c>
      <c r="X22" s="19">
        <f t="shared" si="21"/>
        <v>0</v>
      </c>
      <c r="Y22" s="19">
        <f t="shared" si="22"/>
        <v>0</v>
      </c>
      <c r="Z22" s="19">
        <f t="shared" si="23"/>
        <v>0</v>
      </c>
      <c r="AA22" s="17">
        <f t="shared" si="24"/>
        <v>2</v>
      </c>
      <c r="AB22" s="17">
        <f t="shared" si="25"/>
        <v>2</v>
      </c>
      <c r="AC22" s="17">
        <f t="shared" si="26"/>
        <v>1</v>
      </c>
      <c r="AD22" s="17">
        <f t="shared" si="27"/>
        <v>2</v>
      </c>
      <c r="AE22" s="17">
        <f t="shared" si="28"/>
        <v>1</v>
      </c>
      <c r="AF22" s="17">
        <f t="shared" si="29"/>
        <v>2</v>
      </c>
      <c r="AG22" s="17">
        <f t="shared" si="30"/>
        <v>1</v>
      </c>
      <c r="AH22" s="17">
        <f t="shared" si="31"/>
        <v>1</v>
      </c>
      <c r="AI22" s="17">
        <f t="shared" si="32"/>
        <v>2</v>
      </c>
      <c r="AJ22" s="17">
        <f t="shared" si="33"/>
        <v>1</v>
      </c>
      <c r="AL22" s="21">
        <f t="shared" si="34"/>
        <v>0</v>
      </c>
      <c r="AM22" s="21">
        <f t="shared" si="35"/>
        <v>15</v>
      </c>
      <c r="AN22" s="22">
        <f t="shared" si="36"/>
        <v>100</v>
      </c>
    </row>
    <row r="23" spans="1:40" x14ac:dyDescent="0.25">
      <c r="A23" s="25">
        <v>121</v>
      </c>
      <c r="B23" s="9">
        <v>5</v>
      </c>
      <c r="C23" s="9">
        <v>5</v>
      </c>
      <c r="D23" s="9">
        <v>5</v>
      </c>
      <c r="E23" s="9">
        <v>5</v>
      </c>
      <c r="F23" s="9">
        <v>5</v>
      </c>
      <c r="G23" s="9">
        <v>5</v>
      </c>
      <c r="H23" s="9">
        <v>5</v>
      </c>
      <c r="I23" s="9">
        <v>5</v>
      </c>
      <c r="J23" s="9">
        <v>5</v>
      </c>
      <c r="K23" s="9">
        <v>5</v>
      </c>
      <c r="L23" s="9">
        <v>2</v>
      </c>
      <c r="M23" s="9">
        <v>2</v>
      </c>
      <c r="N23" s="10" t="s">
        <v>94</v>
      </c>
      <c r="O23" s="10" t="s">
        <v>91</v>
      </c>
      <c r="Q23" s="19">
        <f t="shared" si="14"/>
        <v>0</v>
      </c>
      <c r="R23" s="19">
        <f t="shared" si="15"/>
        <v>0</v>
      </c>
      <c r="S23" s="19">
        <f t="shared" si="16"/>
        <v>0</v>
      </c>
      <c r="T23" s="19">
        <f t="shared" si="17"/>
        <v>0</v>
      </c>
      <c r="U23" s="19">
        <f t="shared" si="18"/>
        <v>0</v>
      </c>
      <c r="V23" s="19">
        <f t="shared" si="19"/>
        <v>0</v>
      </c>
      <c r="W23" s="19">
        <f t="shared" si="20"/>
        <v>0</v>
      </c>
      <c r="X23" s="19">
        <f t="shared" si="21"/>
        <v>0</v>
      </c>
      <c r="Y23" s="19">
        <f t="shared" si="22"/>
        <v>0</v>
      </c>
      <c r="Z23" s="19">
        <f t="shared" si="23"/>
        <v>0</v>
      </c>
      <c r="AA23" s="17">
        <f t="shared" si="24"/>
        <v>2</v>
      </c>
      <c r="AB23" s="17">
        <f t="shared" si="25"/>
        <v>2</v>
      </c>
      <c r="AC23" s="17">
        <f t="shared" si="26"/>
        <v>2</v>
      </c>
      <c r="AD23" s="17">
        <f t="shared" si="27"/>
        <v>2</v>
      </c>
      <c r="AE23" s="17">
        <f t="shared" si="28"/>
        <v>2</v>
      </c>
      <c r="AF23" s="17">
        <f t="shared" si="29"/>
        <v>2</v>
      </c>
      <c r="AG23" s="17">
        <f t="shared" si="30"/>
        <v>2</v>
      </c>
      <c r="AH23" s="17">
        <f t="shared" si="31"/>
        <v>2</v>
      </c>
      <c r="AI23" s="17">
        <f t="shared" si="32"/>
        <v>2</v>
      </c>
      <c r="AJ23" s="17">
        <f t="shared" si="33"/>
        <v>2</v>
      </c>
      <c r="AL23" s="21">
        <f t="shared" si="34"/>
        <v>0</v>
      </c>
      <c r="AM23" s="21">
        <f t="shared" si="35"/>
        <v>20</v>
      </c>
      <c r="AN23" s="22">
        <f t="shared" si="36"/>
        <v>100</v>
      </c>
    </row>
    <row r="24" spans="1:40" x14ac:dyDescent="0.25">
      <c r="A24" s="25">
        <v>122</v>
      </c>
      <c r="B24" s="9">
        <v>5</v>
      </c>
      <c r="C24" s="9">
        <v>5</v>
      </c>
      <c r="D24" s="9">
        <v>5</v>
      </c>
      <c r="E24" s="9">
        <v>5</v>
      </c>
      <c r="F24" s="9">
        <v>4</v>
      </c>
      <c r="G24" s="9">
        <v>5</v>
      </c>
      <c r="H24" s="9">
        <v>4</v>
      </c>
      <c r="I24" s="9">
        <v>3</v>
      </c>
      <c r="J24" s="9">
        <v>5</v>
      </c>
      <c r="K24" s="9">
        <v>4</v>
      </c>
      <c r="L24" s="9">
        <v>2</v>
      </c>
      <c r="M24" s="9">
        <v>2</v>
      </c>
      <c r="N24" s="10" t="s">
        <v>94</v>
      </c>
      <c r="O24" s="10" t="s">
        <v>91</v>
      </c>
      <c r="Q24" s="19">
        <f t="shared" si="14"/>
        <v>0</v>
      </c>
      <c r="R24" s="19">
        <f t="shared" si="15"/>
        <v>0</v>
      </c>
      <c r="S24" s="19">
        <f t="shared" si="16"/>
        <v>0</v>
      </c>
      <c r="T24" s="19">
        <f t="shared" si="17"/>
        <v>0</v>
      </c>
      <c r="U24" s="19">
        <f t="shared" si="18"/>
        <v>0</v>
      </c>
      <c r="V24" s="19">
        <f t="shared" si="19"/>
        <v>0</v>
      </c>
      <c r="W24" s="19">
        <f t="shared" si="20"/>
        <v>0</v>
      </c>
      <c r="X24" s="19">
        <f t="shared" si="21"/>
        <v>1</v>
      </c>
      <c r="Y24" s="19">
        <f t="shared" si="22"/>
        <v>0</v>
      </c>
      <c r="Z24" s="19">
        <f t="shared" si="23"/>
        <v>0</v>
      </c>
      <c r="AA24" s="17">
        <f t="shared" si="24"/>
        <v>2</v>
      </c>
      <c r="AB24" s="17">
        <f t="shared" si="25"/>
        <v>2</v>
      </c>
      <c r="AC24" s="17">
        <f t="shared" si="26"/>
        <v>2</v>
      </c>
      <c r="AD24" s="17">
        <f t="shared" si="27"/>
        <v>2</v>
      </c>
      <c r="AE24" s="17">
        <f t="shared" si="28"/>
        <v>1</v>
      </c>
      <c r="AF24" s="17">
        <f t="shared" si="29"/>
        <v>2</v>
      </c>
      <c r="AG24" s="17">
        <f t="shared" si="30"/>
        <v>1</v>
      </c>
      <c r="AH24" s="17">
        <f t="shared" si="31"/>
        <v>1</v>
      </c>
      <c r="AI24" s="17">
        <f t="shared" si="32"/>
        <v>2</v>
      </c>
      <c r="AJ24" s="17">
        <f t="shared" si="33"/>
        <v>1</v>
      </c>
      <c r="AL24" s="21">
        <f t="shared" si="34"/>
        <v>1</v>
      </c>
      <c r="AM24" s="21">
        <f t="shared" si="35"/>
        <v>16</v>
      </c>
      <c r="AN24" s="22">
        <f t="shared" si="36"/>
        <v>88.235294117647058</v>
      </c>
    </row>
    <row r="25" spans="1:40" x14ac:dyDescent="0.25">
      <c r="A25" s="25">
        <v>123</v>
      </c>
      <c r="B25" s="9">
        <v>5</v>
      </c>
      <c r="C25" s="9">
        <v>5</v>
      </c>
      <c r="D25" s="9">
        <v>4</v>
      </c>
      <c r="E25" s="9">
        <v>5</v>
      </c>
      <c r="F25" s="9">
        <v>3</v>
      </c>
      <c r="G25" s="9">
        <v>5</v>
      </c>
      <c r="H25" s="9">
        <v>4</v>
      </c>
      <c r="I25" s="9">
        <v>4</v>
      </c>
      <c r="J25" s="9">
        <v>5</v>
      </c>
      <c r="K25" s="9">
        <v>4</v>
      </c>
      <c r="L25" s="9">
        <v>2</v>
      </c>
      <c r="M25" s="9">
        <v>2</v>
      </c>
      <c r="N25" s="10" t="s">
        <v>91</v>
      </c>
      <c r="O25" s="10" t="s">
        <v>91</v>
      </c>
      <c r="Q25" s="19">
        <f t="shared" si="14"/>
        <v>0</v>
      </c>
      <c r="R25" s="19">
        <f t="shared" si="15"/>
        <v>0</v>
      </c>
      <c r="S25" s="19">
        <f t="shared" si="16"/>
        <v>0</v>
      </c>
      <c r="T25" s="19">
        <f t="shared" si="17"/>
        <v>0</v>
      </c>
      <c r="U25" s="19">
        <f t="shared" si="18"/>
        <v>1</v>
      </c>
      <c r="V25" s="19">
        <f t="shared" si="19"/>
        <v>0</v>
      </c>
      <c r="W25" s="19">
        <f t="shared" si="20"/>
        <v>0</v>
      </c>
      <c r="X25" s="19">
        <f t="shared" si="21"/>
        <v>0</v>
      </c>
      <c r="Y25" s="19">
        <f t="shared" si="22"/>
        <v>0</v>
      </c>
      <c r="Z25" s="19">
        <f t="shared" si="23"/>
        <v>0</v>
      </c>
      <c r="AA25" s="17">
        <f t="shared" si="24"/>
        <v>2</v>
      </c>
      <c r="AB25" s="17">
        <f t="shared" si="25"/>
        <v>2</v>
      </c>
      <c r="AC25" s="17">
        <f t="shared" si="26"/>
        <v>1</v>
      </c>
      <c r="AD25" s="17">
        <f t="shared" si="27"/>
        <v>2</v>
      </c>
      <c r="AE25" s="17">
        <f t="shared" si="28"/>
        <v>1</v>
      </c>
      <c r="AF25" s="17">
        <f t="shared" si="29"/>
        <v>2</v>
      </c>
      <c r="AG25" s="17">
        <f t="shared" si="30"/>
        <v>1</v>
      </c>
      <c r="AH25" s="17">
        <f t="shared" si="31"/>
        <v>1</v>
      </c>
      <c r="AI25" s="17">
        <f t="shared" si="32"/>
        <v>2</v>
      </c>
      <c r="AJ25" s="17">
        <f t="shared" si="33"/>
        <v>1</v>
      </c>
      <c r="AL25" s="21">
        <f t="shared" si="34"/>
        <v>1</v>
      </c>
      <c r="AM25" s="21">
        <f t="shared" si="35"/>
        <v>15</v>
      </c>
      <c r="AN25" s="22">
        <f t="shared" si="36"/>
        <v>87.5</v>
      </c>
    </row>
    <row r="26" spans="1:40" x14ac:dyDescent="0.25">
      <c r="A26" s="25">
        <v>125</v>
      </c>
      <c r="B26" s="9">
        <v>5</v>
      </c>
      <c r="C26" s="9">
        <v>5</v>
      </c>
      <c r="D26" s="9">
        <v>4</v>
      </c>
      <c r="E26" s="9">
        <v>5</v>
      </c>
      <c r="F26" s="9">
        <v>4</v>
      </c>
      <c r="G26" s="9">
        <v>5</v>
      </c>
      <c r="H26" s="9">
        <v>5</v>
      </c>
      <c r="I26" s="9">
        <v>5</v>
      </c>
      <c r="J26" s="9">
        <v>5</v>
      </c>
      <c r="K26" s="9">
        <v>5</v>
      </c>
      <c r="L26" s="9">
        <v>2</v>
      </c>
      <c r="M26" s="9">
        <v>1</v>
      </c>
      <c r="N26" s="10" t="s">
        <v>94</v>
      </c>
      <c r="O26" s="10" t="s">
        <v>91</v>
      </c>
      <c r="Q26" s="19">
        <f t="shared" si="14"/>
        <v>0</v>
      </c>
      <c r="R26" s="19">
        <f t="shared" si="15"/>
        <v>0</v>
      </c>
      <c r="S26" s="19">
        <f t="shared" si="16"/>
        <v>0</v>
      </c>
      <c r="T26" s="19">
        <f t="shared" si="17"/>
        <v>0</v>
      </c>
      <c r="U26" s="19">
        <f t="shared" si="18"/>
        <v>0</v>
      </c>
      <c r="V26" s="19">
        <f t="shared" si="19"/>
        <v>0</v>
      </c>
      <c r="W26" s="19">
        <f t="shared" si="20"/>
        <v>0</v>
      </c>
      <c r="X26" s="19">
        <f t="shared" si="21"/>
        <v>0</v>
      </c>
      <c r="Y26" s="19">
        <f t="shared" si="22"/>
        <v>0</v>
      </c>
      <c r="Z26" s="19">
        <f t="shared" si="23"/>
        <v>0</v>
      </c>
      <c r="AA26" s="17">
        <f t="shared" si="24"/>
        <v>2</v>
      </c>
      <c r="AB26" s="17">
        <f t="shared" si="25"/>
        <v>2</v>
      </c>
      <c r="AC26" s="17">
        <f t="shared" si="26"/>
        <v>1</v>
      </c>
      <c r="AD26" s="17">
        <f t="shared" si="27"/>
        <v>2</v>
      </c>
      <c r="AE26" s="17">
        <f t="shared" si="28"/>
        <v>1</v>
      </c>
      <c r="AF26" s="17">
        <f t="shared" si="29"/>
        <v>2</v>
      </c>
      <c r="AG26" s="17">
        <f t="shared" si="30"/>
        <v>2</v>
      </c>
      <c r="AH26" s="17">
        <f t="shared" si="31"/>
        <v>2</v>
      </c>
      <c r="AI26" s="17">
        <f t="shared" si="32"/>
        <v>2</v>
      </c>
      <c r="AJ26" s="17">
        <f t="shared" si="33"/>
        <v>2</v>
      </c>
      <c r="AL26" s="21">
        <f t="shared" si="34"/>
        <v>0</v>
      </c>
      <c r="AM26" s="21">
        <f t="shared" si="35"/>
        <v>18</v>
      </c>
      <c r="AN26" s="22">
        <f t="shared" si="36"/>
        <v>100</v>
      </c>
    </row>
    <row r="27" spans="1:40" x14ac:dyDescent="0.25">
      <c r="A27" s="25">
        <v>126</v>
      </c>
      <c r="B27" s="9">
        <v>4</v>
      </c>
      <c r="C27" s="9">
        <v>4</v>
      </c>
      <c r="D27" s="9">
        <v>2</v>
      </c>
      <c r="E27" s="9">
        <v>4</v>
      </c>
      <c r="F27" s="9">
        <v>4</v>
      </c>
      <c r="G27" s="9">
        <v>4</v>
      </c>
      <c r="H27" s="9">
        <v>4</v>
      </c>
      <c r="I27" s="9">
        <v>4</v>
      </c>
      <c r="J27" s="9">
        <v>4</v>
      </c>
      <c r="K27" s="9">
        <v>4</v>
      </c>
      <c r="L27" s="9">
        <v>1</v>
      </c>
      <c r="M27" s="9">
        <v>2</v>
      </c>
      <c r="N27" s="10" t="s">
        <v>90</v>
      </c>
      <c r="O27" s="10" t="s">
        <v>91</v>
      </c>
      <c r="Q27" s="19">
        <f t="shared" si="14"/>
        <v>0</v>
      </c>
      <c r="R27" s="19">
        <f t="shared" si="15"/>
        <v>0</v>
      </c>
      <c r="S27" s="19">
        <f t="shared" si="16"/>
        <v>1</v>
      </c>
      <c r="T27" s="19">
        <f t="shared" si="17"/>
        <v>0</v>
      </c>
      <c r="U27" s="19">
        <f t="shared" si="18"/>
        <v>0</v>
      </c>
      <c r="V27" s="19">
        <f t="shared" si="19"/>
        <v>0</v>
      </c>
      <c r="W27" s="19">
        <f t="shared" si="20"/>
        <v>0</v>
      </c>
      <c r="X27" s="19">
        <f t="shared" si="21"/>
        <v>0</v>
      </c>
      <c r="Y27" s="19">
        <f t="shared" si="22"/>
        <v>0</v>
      </c>
      <c r="Z27" s="19">
        <f t="shared" si="23"/>
        <v>0</v>
      </c>
      <c r="AA27" s="17">
        <f t="shared" si="24"/>
        <v>1</v>
      </c>
      <c r="AB27" s="17">
        <f t="shared" si="25"/>
        <v>1</v>
      </c>
      <c r="AC27" s="17">
        <f t="shared" si="26"/>
        <v>0</v>
      </c>
      <c r="AD27" s="17">
        <f t="shared" si="27"/>
        <v>1</v>
      </c>
      <c r="AE27" s="17">
        <f t="shared" si="28"/>
        <v>1</v>
      </c>
      <c r="AF27" s="17">
        <f t="shared" si="29"/>
        <v>1</v>
      </c>
      <c r="AG27" s="17">
        <f t="shared" si="30"/>
        <v>1</v>
      </c>
      <c r="AH27" s="17">
        <f t="shared" si="31"/>
        <v>1</v>
      </c>
      <c r="AI27" s="17">
        <f t="shared" si="32"/>
        <v>1</v>
      </c>
      <c r="AJ27" s="17">
        <f t="shared" si="33"/>
        <v>1</v>
      </c>
      <c r="AL27" s="21">
        <f t="shared" si="34"/>
        <v>1</v>
      </c>
      <c r="AM27" s="21">
        <f t="shared" si="35"/>
        <v>9</v>
      </c>
      <c r="AN27" s="22">
        <f t="shared" si="36"/>
        <v>80</v>
      </c>
    </row>
    <row r="28" spans="1:40" x14ac:dyDescent="0.25">
      <c r="A28" s="25">
        <v>127</v>
      </c>
      <c r="B28" s="9">
        <v>5</v>
      </c>
      <c r="C28" s="9">
        <v>5</v>
      </c>
      <c r="D28" s="9">
        <v>5</v>
      </c>
      <c r="E28" s="9">
        <v>5</v>
      </c>
      <c r="F28" s="9">
        <v>3</v>
      </c>
      <c r="G28" s="9">
        <v>5</v>
      </c>
      <c r="H28" s="9">
        <v>4</v>
      </c>
      <c r="I28" s="9">
        <v>3</v>
      </c>
      <c r="J28" s="9">
        <v>5</v>
      </c>
      <c r="K28" s="9">
        <v>3</v>
      </c>
      <c r="L28" s="9">
        <v>2</v>
      </c>
      <c r="M28" s="9">
        <v>2</v>
      </c>
      <c r="N28" s="10" t="s">
        <v>92</v>
      </c>
      <c r="O28" s="10" t="s">
        <v>94</v>
      </c>
      <c r="Q28" s="19">
        <f t="shared" si="14"/>
        <v>0</v>
      </c>
      <c r="R28" s="19">
        <f t="shared" si="15"/>
        <v>0</v>
      </c>
      <c r="S28" s="19">
        <f t="shared" si="16"/>
        <v>0</v>
      </c>
      <c r="T28" s="19">
        <f t="shared" si="17"/>
        <v>0</v>
      </c>
      <c r="U28" s="19">
        <f t="shared" si="18"/>
        <v>1</v>
      </c>
      <c r="V28" s="19">
        <f t="shared" si="19"/>
        <v>0</v>
      </c>
      <c r="W28" s="19">
        <f t="shared" si="20"/>
        <v>0</v>
      </c>
      <c r="X28" s="19">
        <f t="shared" si="21"/>
        <v>1</v>
      </c>
      <c r="Y28" s="19">
        <f t="shared" si="22"/>
        <v>0</v>
      </c>
      <c r="Z28" s="19">
        <f t="shared" si="23"/>
        <v>1</v>
      </c>
      <c r="AA28" s="17">
        <f t="shared" si="24"/>
        <v>2</v>
      </c>
      <c r="AB28" s="17">
        <f t="shared" si="25"/>
        <v>2</v>
      </c>
      <c r="AC28" s="17">
        <f t="shared" si="26"/>
        <v>2</v>
      </c>
      <c r="AD28" s="17">
        <f t="shared" si="27"/>
        <v>2</v>
      </c>
      <c r="AE28" s="17">
        <f t="shared" si="28"/>
        <v>1</v>
      </c>
      <c r="AF28" s="17">
        <f t="shared" si="29"/>
        <v>2</v>
      </c>
      <c r="AG28" s="17">
        <f t="shared" si="30"/>
        <v>1</v>
      </c>
      <c r="AH28" s="17">
        <f t="shared" si="31"/>
        <v>1</v>
      </c>
      <c r="AI28" s="17">
        <f t="shared" si="32"/>
        <v>2</v>
      </c>
      <c r="AJ28" s="17">
        <f t="shared" si="33"/>
        <v>1</v>
      </c>
      <c r="AL28" s="21">
        <f t="shared" si="34"/>
        <v>3</v>
      </c>
      <c r="AM28" s="21">
        <f t="shared" si="35"/>
        <v>16</v>
      </c>
      <c r="AN28" s="22">
        <f t="shared" si="36"/>
        <v>68.421052631578945</v>
      </c>
    </row>
    <row r="29" spans="1:40" x14ac:dyDescent="0.25">
      <c r="A29" s="25">
        <v>128</v>
      </c>
      <c r="B29" s="9">
        <v>4</v>
      </c>
      <c r="C29" s="9">
        <v>4</v>
      </c>
      <c r="D29" s="9">
        <v>4</v>
      </c>
      <c r="E29" s="9">
        <v>4</v>
      </c>
      <c r="F29" s="9">
        <v>4</v>
      </c>
      <c r="G29" s="9">
        <v>4</v>
      </c>
      <c r="H29" s="9">
        <v>4</v>
      </c>
      <c r="I29" s="9">
        <v>4</v>
      </c>
      <c r="J29" s="9">
        <v>4</v>
      </c>
      <c r="K29" s="9">
        <v>4</v>
      </c>
      <c r="L29" s="9">
        <v>1</v>
      </c>
      <c r="M29" s="9">
        <v>2</v>
      </c>
      <c r="N29" s="10" t="s">
        <v>94</v>
      </c>
      <c r="O29" s="10" t="s">
        <v>91</v>
      </c>
      <c r="Q29" s="19">
        <f t="shared" si="14"/>
        <v>0</v>
      </c>
      <c r="R29" s="19">
        <f t="shared" si="15"/>
        <v>0</v>
      </c>
      <c r="S29" s="19">
        <f t="shared" si="16"/>
        <v>0</v>
      </c>
      <c r="T29" s="19">
        <f t="shared" si="17"/>
        <v>0</v>
      </c>
      <c r="U29" s="19">
        <f t="shared" si="18"/>
        <v>0</v>
      </c>
      <c r="V29" s="19">
        <f t="shared" si="19"/>
        <v>0</v>
      </c>
      <c r="W29" s="19">
        <f t="shared" si="20"/>
        <v>0</v>
      </c>
      <c r="X29" s="19">
        <f t="shared" si="21"/>
        <v>0</v>
      </c>
      <c r="Y29" s="19">
        <f t="shared" si="22"/>
        <v>0</v>
      </c>
      <c r="Z29" s="19">
        <f t="shared" si="23"/>
        <v>0</v>
      </c>
      <c r="AA29" s="17">
        <f t="shared" si="24"/>
        <v>1</v>
      </c>
      <c r="AB29" s="17">
        <f t="shared" si="25"/>
        <v>1</v>
      </c>
      <c r="AC29" s="17">
        <f t="shared" si="26"/>
        <v>1</v>
      </c>
      <c r="AD29" s="17">
        <f t="shared" si="27"/>
        <v>1</v>
      </c>
      <c r="AE29" s="17">
        <f t="shared" si="28"/>
        <v>1</v>
      </c>
      <c r="AF29" s="17">
        <f t="shared" si="29"/>
        <v>1</v>
      </c>
      <c r="AG29" s="17">
        <f t="shared" si="30"/>
        <v>1</v>
      </c>
      <c r="AH29" s="17">
        <f t="shared" si="31"/>
        <v>1</v>
      </c>
      <c r="AI29" s="17">
        <f t="shared" si="32"/>
        <v>1</v>
      </c>
      <c r="AJ29" s="17">
        <f t="shared" si="33"/>
        <v>1</v>
      </c>
      <c r="AL29" s="21">
        <f t="shared" si="34"/>
        <v>0</v>
      </c>
      <c r="AM29" s="21">
        <f t="shared" si="35"/>
        <v>10</v>
      </c>
      <c r="AN29" s="22">
        <f t="shared" si="36"/>
        <v>100</v>
      </c>
    </row>
    <row r="30" spans="1:40" x14ac:dyDescent="0.25">
      <c r="A30" s="25">
        <v>129</v>
      </c>
      <c r="B30" s="9">
        <v>5</v>
      </c>
      <c r="C30" s="9">
        <v>5</v>
      </c>
      <c r="D30" s="9">
        <v>5</v>
      </c>
      <c r="E30" s="9">
        <v>5</v>
      </c>
      <c r="F30" s="9">
        <v>4</v>
      </c>
      <c r="G30" s="9">
        <v>4</v>
      </c>
      <c r="H30" s="9">
        <v>5</v>
      </c>
      <c r="I30" s="9">
        <v>5</v>
      </c>
      <c r="J30" s="9">
        <v>5</v>
      </c>
      <c r="K30" s="9">
        <v>4</v>
      </c>
      <c r="L30" s="9">
        <v>1</v>
      </c>
      <c r="M30" s="9">
        <v>2</v>
      </c>
      <c r="N30" s="10" t="s">
        <v>90</v>
      </c>
      <c r="O30" s="10" t="s">
        <v>91</v>
      </c>
      <c r="Q30" s="19">
        <f t="shared" si="14"/>
        <v>0</v>
      </c>
      <c r="R30" s="19">
        <f t="shared" si="15"/>
        <v>0</v>
      </c>
      <c r="S30" s="19">
        <f t="shared" si="16"/>
        <v>0</v>
      </c>
      <c r="T30" s="19">
        <f t="shared" si="17"/>
        <v>0</v>
      </c>
      <c r="U30" s="19">
        <f t="shared" si="18"/>
        <v>0</v>
      </c>
      <c r="V30" s="19">
        <f t="shared" si="19"/>
        <v>0</v>
      </c>
      <c r="W30" s="19">
        <f t="shared" si="20"/>
        <v>0</v>
      </c>
      <c r="X30" s="19">
        <f t="shared" si="21"/>
        <v>0</v>
      </c>
      <c r="Y30" s="19">
        <f t="shared" si="22"/>
        <v>0</v>
      </c>
      <c r="Z30" s="19">
        <f t="shared" si="23"/>
        <v>0</v>
      </c>
      <c r="AA30" s="17">
        <f t="shared" si="24"/>
        <v>2</v>
      </c>
      <c r="AB30" s="17">
        <f t="shared" si="25"/>
        <v>2</v>
      </c>
      <c r="AC30" s="17">
        <f t="shared" si="26"/>
        <v>2</v>
      </c>
      <c r="AD30" s="17">
        <f t="shared" si="27"/>
        <v>2</v>
      </c>
      <c r="AE30" s="17">
        <f t="shared" si="28"/>
        <v>1</v>
      </c>
      <c r="AF30" s="17">
        <f t="shared" si="29"/>
        <v>1</v>
      </c>
      <c r="AG30" s="17">
        <f t="shared" si="30"/>
        <v>2</v>
      </c>
      <c r="AH30" s="17">
        <f t="shared" si="31"/>
        <v>2</v>
      </c>
      <c r="AI30" s="17">
        <f t="shared" si="32"/>
        <v>2</v>
      </c>
      <c r="AJ30" s="17">
        <f t="shared" si="33"/>
        <v>1</v>
      </c>
      <c r="AL30" s="21">
        <f t="shared" si="34"/>
        <v>0</v>
      </c>
      <c r="AM30" s="21">
        <f t="shared" si="35"/>
        <v>17</v>
      </c>
      <c r="AN30" s="22">
        <f t="shared" si="36"/>
        <v>100</v>
      </c>
    </row>
    <row r="31" spans="1:40" x14ac:dyDescent="0.25">
      <c r="A31" s="25">
        <v>130</v>
      </c>
      <c r="B31" s="9">
        <v>5</v>
      </c>
      <c r="C31" s="9">
        <v>5</v>
      </c>
      <c r="D31" s="9">
        <v>5</v>
      </c>
      <c r="E31" s="9">
        <v>5</v>
      </c>
      <c r="F31" s="9">
        <v>4</v>
      </c>
      <c r="G31" s="9">
        <v>5</v>
      </c>
      <c r="H31" s="9">
        <v>4</v>
      </c>
      <c r="I31" s="9">
        <v>5</v>
      </c>
      <c r="J31" s="9">
        <v>5</v>
      </c>
      <c r="K31" s="9">
        <v>5</v>
      </c>
      <c r="L31" s="9">
        <v>2</v>
      </c>
      <c r="M31" s="9">
        <v>2</v>
      </c>
      <c r="N31" s="10" t="s">
        <v>93</v>
      </c>
      <c r="O31" s="10" t="s">
        <v>91</v>
      </c>
      <c r="Q31" s="19">
        <f t="shared" si="14"/>
        <v>0</v>
      </c>
      <c r="R31" s="19">
        <f t="shared" si="15"/>
        <v>0</v>
      </c>
      <c r="S31" s="19">
        <f t="shared" si="16"/>
        <v>0</v>
      </c>
      <c r="T31" s="19">
        <f t="shared" si="17"/>
        <v>0</v>
      </c>
      <c r="U31" s="19">
        <f t="shared" si="18"/>
        <v>0</v>
      </c>
      <c r="V31" s="19">
        <f t="shared" si="19"/>
        <v>0</v>
      </c>
      <c r="W31" s="19">
        <f t="shared" si="20"/>
        <v>0</v>
      </c>
      <c r="X31" s="19">
        <f t="shared" si="21"/>
        <v>0</v>
      </c>
      <c r="Y31" s="19">
        <f t="shared" si="22"/>
        <v>0</v>
      </c>
      <c r="Z31" s="19">
        <f t="shared" si="23"/>
        <v>0</v>
      </c>
      <c r="AA31" s="17">
        <f t="shared" si="24"/>
        <v>2</v>
      </c>
      <c r="AB31" s="17">
        <f t="shared" si="25"/>
        <v>2</v>
      </c>
      <c r="AC31" s="17">
        <f t="shared" si="26"/>
        <v>2</v>
      </c>
      <c r="AD31" s="17">
        <f t="shared" si="27"/>
        <v>2</v>
      </c>
      <c r="AE31" s="17">
        <f t="shared" si="28"/>
        <v>1</v>
      </c>
      <c r="AF31" s="17">
        <f t="shared" si="29"/>
        <v>2</v>
      </c>
      <c r="AG31" s="17">
        <f t="shared" si="30"/>
        <v>1</v>
      </c>
      <c r="AH31" s="17">
        <f t="shared" si="31"/>
        <v>2</v>
      </c>
      <c r="AI31" s="17">
        <f t="shared" si="32"/>
        <v>2</v>
      </c>
      <c r="AJ31" s="17">
        <f t="shared" si="33"/>
        <v>2</v>
      </c>
      <c r="AL31" s="21">
        <f t="shared" si="34"/>
        <v>0</v>
      </c>
      <c r="AM31" s="21">
        <f t="shared" si="35"/>
        <v>18</v>
      </c>
      <c r="AN31" s="22">
        <f t="shared" si="36"/>
        <v>100</v>
      </c>
    </row>
    <row r="32" spans="1:40" x14ac:dyDescent="0.25">
      <c r="A32" s="25">
        <v>131</v>
      </c>
      <c r="B32" s="9">
        <v>5</v>
      </c>
      <c r="C32" s="9">
        <v>5</v>
      </c>
      <c r="D32" s="9">
        <v>5</v>
      </c>
      <c r="E32" s="9">
        <v>5</v>
      </c>
      <c r="F32" s="9">
        <v>5</v>
      </c>
      <c r="G32" s="9">
        <v>4</v>
      </c>
      <c r="H32" s="9">
        <v>5</v>
      </c>
      <c r="I32" s="9">
        <v>4</v>
      </c>
      <c r="J32" s="9">
        <v>5</v>
      </c>
      <c r="K32" s="9">
        <v>5</v>
      </c>
      <c r="L32" s="9">
        <v>2</v>
      </c>
      <c r="M32" s="9">
        <v>2</v>
      </c>
      <c r="N32" s="10" t="s">
        <v>90</v>
      </c>
      <c r="O32" s="10" t="s">
        <v>91</v>
      </c>
      <c r="Q32" s="19">
        <f t="shared" si="14"/>
        <v>0</v>
      </c>
      <c r="R32" s="19">
        <f t="shared" si="15"/>
        <v>0</v>
      </c>
      <c r="S32" s="19">
        <f t="shared" si="16"/>
        <v>0</v>
      </c>
      <c r="T32" s="19">
        <f t="shared" si="17"/>
        <v>0</v>
      </c>
      <c r="U32" s="19">
        <f t="shared" si="18"/>
        <v>0</v>
      </c>
      <c r="V32" s="19">
        <f t="shared" si="19"/>
        <v>0</v>
      </c>
      <c r="W32" s="19">
        <f t="shared" si="20"/>
        <v>0</v>
      </c>
      <c r="X32" s="19">
        <f t="shared" si="21"/>
        <v>0</v>
      </c>
      <c r="Y32" s="19">
        <f t="shared" si="22"/>
        <v>0</v>
      </c>
      <c r="Z32" s="19">
        <f t="shared" si="23"/>
        <v>0</v>
      </c>
      <c r="AA32" s="17">
        <f t="shared" si="24"/>
        <v>2</v>
      </c>
      <c r="AB32" s="17">
        <f t="shared" si="25"/>
        <v>2</v>
      </c>
      <c r="AC32" s="17">
        <f t="shared" si="26"/>
        <v>2</v>
      </c>
      <c r="AD32" s="17">
        <f t="shared" si="27"/>
        <v>2</v>
      </c>
      <c r="AE32" s="17">
        <f t="shared" si="28"/>
        <v>2</v>
      </c>
      <c r="AF32" s="17">
        <f t="shared" si="29"/>
        <v>1</v>
      </c>
      <c r="AG32" s="17">
        <f t="shared" si="30"/>
        <v>2</v>
      </c>
      <c r="AH32" s="17">
        <f t="shared" si="31"/>
        <v>1</v>
      </c>
      <c r="AI32" s="17">
        <f t="shared" si="32"/>
        <v>2</v>
      </c>
      <c r="AJ32" s="17">
        <f t="shared" si="33"/>
        <v>2</v>
      </c>
      <c r="AL32" s="21">
        <f t="shared" si="34"/>
        <v>0</v>
      </c>
      <c r="AM32" s="21">
        <f t="shared" si="35"/>
        <v>18</v>
      </c>
      <c r="AN32" s="22">
        <f t="shared" si="36"/>
        <v>100</v>
      </c>
    </row>
    <row r="33" spans="1:40" x14ac:dyDescent="0.25">
      <c r="A33" s="25">
        <v>132</v>
      </c>
      <c r="B33" s="9">
        <v>5</v>
      </c>
      <c r="C33" s="9">
        <v>5</v>
      </c>
      <c r="D33" s="9">
        <v>5</v>
      </c>
      <c r="E33" s="9">
        <v>5</v>
      </c>
      <c r="F33" s="9">
        <v>5</v>
      </c>
      <c r="G33" s="9">
        <v>5</v>
      </c>
      <c r="H33" s="9">
        <v>5</v>
      </c>
      <c r="I33" s="9">
        <v>5</v>
      </c>
      <c r="J33" s="9">
        <v>5</v>
      </c>
      <c r="K33" s="9">
        <v>5</v>
      </c>
      <c r="L33" s="9">
        <v>2</v>
      </c>
      <c r="M33" s="9">
        <v>2</v>
      </c>
      <c r="N33" s="10" t="s">
        <v>94</v>
      </c>
      <c r="O33" s="10" t="s">
        <v>91</v>
      </c>
      <c r="Q33" s="19">
        <f t="shared" si="14"/>
        <v>0</v>
      </c>
      <c r="R33" s="19">
        <f t="shared" si="15"/>
        <v>0</v>
      </c>
      <c r="S33" s="19">
        <f t="shared" si="16"/>
        <v>0</v>
      </c>
      <c r="T33" s="19">
        <f t="shared" si="17"/>
        <v>0</v>
      </c>
      <c r="U33" s="19">
        <f t="shared" si="18"/>
        <v>0</v>
      </c>
      <c r="V33" s="19">
        <f t="shared" si="19"/>
        <v>0</v>
      </c>
      <c r="W33" s="19">
        <f t="shared" si="20"/>
        <v>0</v>
      </c>
      <c r="X33" s="19">
        <f t="shared" si="21"/>
        <v>0</v>
      </c>
      <c r="Y33" s="19">
        <f t="shared" si="22"/>
        <v>0</v>
      </c>
      <c r="Z33" s="19">
        <f t="shared" si="23"/>
        <v>0</v>
      </c>
      <c r="AA33" s="17">
        <f t="shared" si="24"/>
        <v>2</v>
      </c>
      <c r="AB33" s="17">
        <f t="shared" si="25"/>
        <v>2</v>
      </c>
      <c r="AC33" s="17">
        <f t="shared" si="26"/>
        <v>2</v>
      </c>
      <c r="AD33" s="17">
        <f t="shared" si="27"/>
        <v>2</v>
      </c>
      <c r="AE33" s="17">
        <f t="shared" si="28"/>
        <v>2</v>
      </c>
      <c r="AF33" s="17">
        <f t="shared" si="29"/>
        <v>2</v>
      </c>
      <c r="AG33" s="17">
        <f t="shared" si="30"/>
        <v>2</v>
      </c>
      <c r="AH33" s="17">
        <f t="shared" si="31"/>
        <v>2</v>
      </c>
      <c r="AI33" s="17">
        <f t="shared" si="32"/>
        <v>2</v>
      </c>
      <c r="AJ33" s="17">
        <f t="shared" si="33"/>
        <v>2</v>
      </c>
      <c r="AL33" s="21">
        <f t="shared" si="34"/>
        <v>0</v>
      </c>
      <c r="AM33" s="21">
        <f t="shared" si="35"/>
        <v>20</v>
      </c>
      <c r="AN33" s="22">
        <f t="shared" si="36"/>
        <v>100</v>
      </c>
    </row>
    <row r="34" spans="1:40" x14ac:dyDescent="0.25">
      <c r="A34" s="25">
        <v>133</v>
      </c>
      <c r="B34" s="9">
        <v>5</v>
      </c>
      <c r="C34" s="9">
        <v>5</v>
      </c>
      <c r="D34" s="9">
        <v>5</v>
      </c>
      <c r="E34" s="9">
        <v>5</v>
      </c>
      <c r="F34" s="9">
        <v>5</v>
      </c>
      <c r="G34" s="9">
        <v>5</v>
      </c>
      <c r="H34" s="9">
        <v>5</v>
      </c>
      <c r="I34" s="9">
        <v>5</v>
      </c>
      <c r="J34" s="9">
        <v>5</v>
      </c>
      <c r="K34" s="9">
        <v>5</v>
      </c>
      <c r="L34" s="9">
        <v>2</v>
      </c>
      <c r="M34" s="9">
        <v>2</v>
      </c>
      <c r="N34" s="10" t="s">
        <v>94</v>
      </c>
      <c r="O34" s="10" t="s">
        <v>94</v>
      </c>
      <c r="Q34" s="19">
        <f t="shared" si="14"/>
        <v>0</v>
      </c>
      <c r="R34" s="19">
        <f t="shared" si="15"/>
        <v>0</v>
      </c>
      <c r="S34" s="19">
        <f t="shared" si="16"/>
        <v>0</v>
      </c>
      <c r="T34" s="19">
        <f t="shared" si="17"/>
        <v>0</v>
      </c>
      <c r="U34" s="19">
        <f t="shared" si="18"/>
        <v>0</v>
      </c>
      <c r="V34" s="19">
        <f t="shared" si="19"/>
        <v>0</v>
      </c>
      <c r="W34" s="19">
        <f t="shared" si="20"/>
        <v>0</v>
      </c>
      <c r="X34" s="19">
        <f t="shared" si="21"/>
        <v>0</v>
      </c>
      <c r="Y34" s="19">
        <f t="shared" si="22"/>
        <v>0</v>
      </c>
      <c r="Z34" s="19">
        <f t="shared" si="23"/>
        <v>0</v>
      </c>
      <c r="AA34" s="17">
        <f t="shared" si="24"/>
        <v>2</v>
      </c>
      <c r="AB34" s="17">
        <f t="shared" si="25"/>
        <v>2</v>
      </c>
      <c r="AC34" s="17">
        <f t="shared" si="26"/>
        <v>2</v>
      </c>
      <c r="AD34" s="17">
        <f t="shared" si="27"/>
        <v>2</v>
      </c>
      <c r="AE34" s="17">
        <f t="shared" si="28"/>
        <v>2</v>
      </c>
      <c r="AF34" s="17">
        <f t="shared" si="29"/>
        <v>2</v>
      </c>
      <c r="AG34" s="17">
        <f t="shared" si="30"/>
        <v>2</v>
      </c>
      <c r="AH34" s="17">
        <f t="shared" si="31"/>
        <v>2</v>
      </c>
      <c r="AI34" s="17">
        <f t="shared" si="32"/>
        <v>2</v>
      </c>
      <c r="AJ34" s="17">
        <f t="shared" si="33"/>
        <v>2</v>
      </c>
      <c r="AL34" s="21">
        <f t="shared" si="34"/>
        <v>0</v>
      </c>
      <c r="AM34" s="21">
        <f t="shared" si="35"/>
        <v>20</v>
      </c>
      <c r="AN34" s="22">
        <f t="shared" si="36"/>
        <v>100</v>
      </c>
    </row>
    <row r="35" spans="1:40" x14ac:dyDescent="0.25">
      <c r="A35" s="25">
        <v>134</v>
      </c>
      <c r="B35" s="9">
        <v>4</v>
      </c>
      <c r="C35" s="9">
        <v>4</v>
      </c>
      <c r="D35" s="9">
        <v>4</v>
      </c>
      <c r="E35" s="9">
        <v>4</v>
      </c>
      <c r="F35" s="9">
        <v>4</v>
      </c>
      <c r="G35" s="9">
        <v>4</v>
      </c>
      <c r="H35" s="9">
        <v>4</v>
      </c>
      <c r="I35" s="9">
        <v>4</v>
      </c>
      <c r="J35" s="9">
        <v>4</v>
      </c>
      <c r="K35" s="9">
        <v>4</v>
      </c>
      <c r="L35" s="9">
        <v>2</v>
      </c>
      <c r="M35" s="9">
        <v>2</v>
      </c>
      <c r="N35" s="10" t="s">
        <v>94</v>
      </c>
      <c r="O35" s="10" t="s">
        <v>91</v>
      </c>
      <c r="Q35" s="19">
        <f t="shared" si="14"/>
        <v>0</v>
      </c>
      <c r="R35" s="19">
        <f t="shared" si="15"/>
        <v>0</v>
      </c>
      <c r="S35" s="19">
        <f t="shared" si="16"/>
        <v>0</v>
      </c>
      <c r="T35" s="19">
        <f t="shared" si="17"/>
        <v>0</v>
      </c>
      <c r="U35" s="19">
        <f t="shared" si="18"/>
        <v>0</v>
      </c>
      <c r="V35" s="19">
        <f t="shared" si="19"/>
        <v>0</v>
      </c>
      <c r="W35" s="19">
        <f t="shared" si="20"/>
        <v>0</v>
      </c>
      <c r="X35" s="19">
        <f t="shared" si="21"/>
        <v>0</v>
      </c>
      <c r="Y35" s="19">
        <f t="shared" si="22"/>
        <v>0</v>
      </c>
      <c r="Z35" s="19">
        <f t="shared" si="23"/>
        <v>0</v>
      </c>
      <c r="AA35" s="17">
        <f t="shared" si="24"/>
        <v>1</v>
      </c>
      <c r="AB35" s="17">
        <f t="shared" si="25"/>
        <v>1</v>
      </c>
      <c r="AC35" s="17">
        <f t="shared" si="26"/>
        <v>1</v>
      </c>
      <c r="AD35" s="17">
        <f t="shared" si="27"/>
        <v>1</v>
      </c>
      <c r="AE35" s="17">
        <f t="shared" si="28"/>
        <v>1</v>
      </c>
      <c r="AF35" s="17">
        <f t="shared" si="29"/>
        <v>1</v>
      </c>
      <c r="AG35" s="17">
        <f t="shared" si="30"/>
        <v>1</v>
      </c>
      <c r="AH35" s="17">
        <f t="shared" si="31"/>
        <v>1</v>
      </c>
      <c r="AI35" s="17">
        <f t="shared" si="32"/>
        <v>1</v>
      </c>
      <c r="AJ35" s="17">
        <f t="shared" si="33"/>
        <v>1</v>
      </c>
      <c r="AL35" s="21">
        <f t="shared" si="34"/>
        <v>0</v>
      </c>
      <c r="AM35" s="21">
        <f t="shared" si="35"/>
        <v>10</v>
      </c>
      <c r="AN35" s="22">
        <f t="shared" si="36"/>
        <v>100</v>
      </c>
    </row>
    <row r="36" spans="1:40" x14ac:dyDescent="0.25">
      <c r="A36" s="25">
        <v>135</v>
      </c>
      <c r="B36" s="9">
        <v>5</v>
      </c>
      <c r="C36" s="9">
        <v>5</v>
      </c>
      <c r="D36" s="9">
        <v>4</v>
      </c>
      <c r="E36" s="9">
        <v>5</v>
      </c>
      <c r="F36" s="9">
        <v>5</v>
      </c>
      <c r="G36" s="9">
        <v>5</v>
      </c>
      <c r="H36" s="9">
        <v>5</v>
      </c>
      <c r="I36" s="9">
        <v>4</v>
      </c>
      <c r="J36" s="9">
        <v>5</v>
      </c>
      <c r="K36" s="9">
        <v>5</v>
      </c>
      <c r="L36" s="9">
        <v>2</v>
      </c>
      <c r="M36" s="9">
        <v>1</v>
      </c>
      <c r="N36" s="10" t="s">
        <v>94</v>
      </c>
      <c r="O36" s="10" t="s">
        <v>91</v>
      </c>
      <c r="Q36" s="19">
        <f t="shared" si="14"/>
        <v>0</v>
      </c>
      <c r="R36" s="19">
        <f t="shared" si="15"/>
        <v>0</v>
      </c>
      <c r="S36" s="19">
        <f t="shared" si="16"/>
        <v>0</v>
      </c>
      <c r="T36" s="19">
        <f t="shared" si="17"/>
        <v>0</v>
      </c>
      <c r="U36" s="19">
        <f t="shared" si="18"/>
        <v>0</v>
      </c>
      <c r="V36" s="19">
        <f t="shared" si="19"/>
        <v>0</v>
      </c>
      <c r="W36" s="19">
        <f t="shared" si="20"/>
        <v>0</v>
      </c>
      <c r="X36" s="19">
        <f t="shared" si="21"/>
        <v>0</v>
      </c>
      <c r="Y36" s="19">
        <f t="shared" si="22"/>
        <v>0</v>
      </c>
      <c r="Z36" s="19">
        <f t="shared" si="23"/>
        <v>0</v>
      </c>
      <c r="AA36" s="17">
        <f t="shared" si="24"/>
        <v>2</v>
      </c>
      <c r="AB36" s="17">
        <f t="shared" si="25"/>
        <v>2</v>
      </c>
      <c r="AC36" s="17">
        <f t="shared" si="26"/>
        <v>1</v>
      </c>
      <c r="AD36" s="17">
        <f t="shared" si="27"/>
        <v>2</v>
      </c>
      <c r="AE36" s="17">
        <f t="shared" si="28"/>
        <v>2</v>
      </c>
      <c r="AF36" s="17">
        <f t="shared" si="29"/>
        <v>2</v>
      </c>
      <c r="AG36" s="17">
        <f t="shared" si="30"/>
        <v>2</v>
      </c>
      <c r="AH36" s="17">
        <f t="shared" si="31"/>
        <v>1</v>
      </c>
      <c r="AI36" s="17">
        <f t="shared" si="32"/>
        <v>2</v>
      </c>
      <c r="AJ36" s="17">
        <f t="shared" si="33"/>
        <v>2</v>
      </c>
      <c r="AL36" s="21">
        <f t="shared" si="34"/>
        <v>0</v>
      </c>
      <c r="AM36" s="21">
        <f t="shared" si="35"/>
        <v>18</v>
      </c>
      <c r="AN36" s="22">
        <f t="shared" si="36"/>
        <v>100</v>
      </c>
    </row>
    <row r="37" spans="1:40" x14ac:dyDescent="0.25">
      <c r="A37" s="25">
        <v>136</v>
      </c>
      <c r="B37" s="9">
        <v>5</v>
      </c>
      <c r="C37" s="9">
        <v>5</v>
      </c>
      <c r="D37" s="9">
        <v>5</v>
      </c>
      <c r="E37" s="9">
        <v>5</v>
      </c>
      <c r="F37" s="9">
        <v>5</v>
      </c>
      <c r="G37" s="9">
        <v>5</v>
      </c>
      <c r="H37" s="9">
        <v>5</v>
      </c>
      <c r="I37" s="9">
        <v>5</v>
      </c>
      <c r="J37" s="9">
        <v>5</v>
      </c>
      <c r="K37" s="9">
        <v>5</v>
      </c>
      <c r="L37" s="9">
        <v>2</v>
      </c>
      <c r="M37" s="9">
        <v>2</v>
      </c>
      <c r="N37" s="10" t="s">
        <v>91</v>
      </c>
      <c r="O37" s="10" t="s">
        <v>91</v>
      </c>
      <c r="Q37" s="19">
        <f t="shared" si="14"/>
        <v>0</v>
      </c>
      <c r="R37" s="19">
        <f t="shared" si="15"/>
        <v>0</v>
      </c>
      <c r="S37" s="19">
        <f t="shared" si="16"/>
        <v>0</v>
      </c>
      <c r="T37" s="19">
        <f t="shared" si="17"/>
        <v>0</v>
      </c>
      <c r="U37" s="19">
        <f t="shared" si="18"/>
        <v>0</v>
      </c>
      <c r="V37" s="19">
        <f t="shared" si="19"/>
        <v>0</v>
      </c>
      <c r="W37" s="19">
        <f t="shared" si="20"/>
        <v>0</v>
      </c>
      <c r="X37" s="19">
        <f t="shared" si="21"/>
        <v>0</v>
      </c>
      <c r="Y37" s="19">
        <f t="shared" si="22"/>
        <v>0</v>
      </c>
      <c r="Z37" s="19">
        <f t="shared" si="23"/>
        <v>0</v>
      </c>
      <c r="AA37" s="17">
        <f t="shared" si="24"/>
        <v>2</v>
      </c>
      <c r="AB37" s="17">
        <f t="shared" si="25"/>
        <v>2</v>
      </c>
      <c r="AC37" s="17">
        <f t="shared" si="26"/>
        <v>2</v>
      </c>
      <c r="AD37" s="17">
        <f t="shared" si="27"/>
        <v>2</v>
      </c>
      <c r="AE37" s="17">
        <f t="shared" si="28"/>
        <v>2</v>
      </c>
      <c r="AF37" s="17">
        <f t="shared" si="29"/>
        <v>2</v>
      </c>
      <c r="AG37" s="17">
        <f t="shared" si="30"/>
        <v>2</v>
      </c>
      <c r="AH37" s="17">
        <f t="shared" si="31"/>
        <v>2</v>
      </c>
      <c r="AI37" s="17">
        <f t="shared" si="32"/>
        <v>2</v>
      </c>
      <c r="AJ37" s="17">
        <f t="shared" si="33"/>
        <v>2</v>
      </c>
      <c r="AL37" s="21">
        <f t="shared" si="34"/>
        <v>0</v>
      </c>
      <c r="AM37" s="21">
        <f t="shared" si="35"/>
        <v>20</v>
      </c>
      <c r="AN37" s="22">
        <f t="shared" si="36"/>
        <v>100</v>
      </c>
    </row>
    <row r="38" spans="1:40" x14ac:dyDescent="0.25">
      <c r="A38" s="25">
        <v>137</v>
      </c>
      <c r="B38" s="9">
        <v>5</v>
      </c>
      <c r="C38" s="9">
        <v>5</v>
      </c>
      <c r="D38" s="9">
        <v>4</v>
      </c>
      <c r="E38" s="9">
        <v>5</v>
      </c>
      <c r="F38" s="9">
        <v>4</v>
      </c>
      <c r="G38" s="9">
        <v>4</v>
      </c>
      <c r="H38" s="9">
        <v>4</v>
      </c>
      <c r="I38" s="9">
        <v>4</v>
      </c>
      <c r="J38" s="9">
        <v>5</v>
      </c>
      <c r="K38" s="9">
        <v>4</v>
      </c>
      <c r="L38" s="9">
        <v>2</v>
      </c>
      <c r="M38" s="9">
        <v>2</v>
      </c>
      <c r="N38" s="10" t="s">
        <v>91</v>
      </c>
      <c r="O38" s="10" t="s">
        <v>91</v>
      </c>
      <c r="Q38" s="19">
        <f t="shared" si="14"/>
        <v>0</v>
      </c>
      <c r="R38" s="19">
        <f t="shared" si="15"/>
        <v>0</v>
      </c>
      <c r="S38" s="19">
        <f t="shared" si="16"/>
        <v>0</v>
      </c>
      <c r="T38" s="19">
        <f t="shared" si="17"/>
        <v>0</v>
      </c>
      <c r="U38" s="19">
        <f t="shared" si="18"/>
        <v>0</v>
      </c>
      <c r="V38" s="19">
        <f t="shared" si="19"/>
        <v>0</v>
      </c>
      <c r="W38" s="19">
        <f t="shared" si="20"/>
        <v>0</v>
      </c>
      <c r="X38" s="19">
        <f t="shared" si="21"/>
        <v>0</v>
      </c>
      <c r="Y38" s="19">
        <f t="shared" si="22"/>
        <v>0</v>
      </c>
      <c r="Z38" s="19">
        <f t="shared" si="23"/>
        <v>0</v>
      </c>
      <c r="AA38" s="17">
        <f t="shared" si="24"/>
        <v>2</v>
      </c>
      <c r="AB38" s="17">
        <f t="shared" si="25"/>
        <v>2</v>
      </c>
      <c r="AC38" s="17">
        <f t="shared" si="26"/>
        <v>1</v>
      </c>
      <c r="AD38" s="17">
        <f t="shared" si="27"/>
        <v>2</v>
      </c>
      <c r="AE38" s="17">
        <f t="shared" si="28"/>
        <v>1</v>
      </c>
      <c r="AF38" s="17">
        <f t="shared" si="29"/>
        <v>1</v>
      </c>
      <c r="AG38" s="17">
        <f t="shared" si="30"/>
        <v>1</v>
      </c>
      <c r="AH38" s="17">
        <f t="shared" si="31"/>
        <v>1</v>
      </c>
      <c r="AI38" s="17">
        <f t="shared" si="32"/>
        <v>2</v>
      </c>
      <c r="AJ38" s="17">
        <f t="shared" si="33"/>
        <v>1</v>
      </c>
      <c r="AL38" s="21">
        <f t="shared" si="34"/>
        <v>0</v>
      </c>
      <c r="AM38" s="21">
        <f t="shared" si="35"/>
        <v>14</v>
      </c>
      <c r="AN38" s="22">
        <f t="shared" si="36"/>
        <v>100</v>
      </c>
    </row>
    <row r="39" spans="1:40" x14ac:dyDescent="0.25">
      <c r="A39" s="25">
        <v>138</v>
      </c>
      <c r="B39" s="9">
        <v>5</v>
      </c>
      <c r="C39" s="9">
        <v>5</v>
      </c>
      <c r="D39" s="9">
        <v>3</v>
      </c>
      <c r="E39" s="9">
        <v>4</v>
      </c>
      <c r="F39" s="9">
        <v>2</v>
      </c>
      <c r="G39" s="9">
        <v>4</v>
      </c>
      <c r="H39" s="9">
        <v>4</v>
      </c>
      <c r="I39" s="9">
        <v>4</v>
      </c>
      <c r="J39" s="9">
        <v>5</v>
      </c>
      <c r="K39" s="9">
        <v>4</v>
      </c>
      <c r="L39" s="9">
        <v>2</v>
      </c>
      <c r="M39" s="9">
        <v>2</v>
      </c>
      <c r="N39" s="10" t="s">
        <v>94</v>
      </c>
      <c r="O39" s="10" t="s">
        <v>91</v>
      </c>
      <c r="Q39" s="19">
        <f t="shared" si="14"/>
        <v>0</v>
      </c>
      <c r="R39" s="19">
        <f t="shared" si="15"/>
        <v>0</v>
      </c>
      <c r="S39" s="19">
        <f t="shared" si="16"/>
        <v>1</v>
      </c>
      <c r="T39" s="19">
        <f t="shared" si="17"/>
        <v>0</v>
      </c>
      <c r="U39" s="19">
        <f t="shared" si="18"/>
        <v>1</v>
      </c>
      <c r="V39" s="19">
        <f t="shared" si="19"/>
        <v>0</v>
      </c>
      <c r="W39" s="19">
        <f t="shared" si="20"/>
        <v>0</v>
      </c>
      <c r="X39" s="19">
        <f t="shared" si="21"/>
        <v>0</v>
      </c>
      <c r="Y39" s="19">
        <f t="shared" si="22"/>
        <v>0</v>
      </c>
      <c r="Z39" s="19">
        <f t="shared" si="23"/>
        <v>0</v>
      </c>
      <c r="AA39" s="17">
        <f t="shared" si="24"/>
        <v>2</v>
      </c>
      <c r="AB39" s="17">
        <f t="shared" si="25"/>
        <v>2</v>
      </c>
      <c r="AC39" s="17">
        <f t="shared" si="26"/>
        <v>1</v>
      </c>
      <c r="AD39" s="17">
        <f t="shared" si="27"/>
        <v>1</v>
      </c>
      <c r="AE39" s="17">
        <f t="shared" si="28"/>
        <v>0</v>
      </c>
      <c r="AF39" s="17">
        <f t="shared" si="29"/>
        <v>1</v>
      </c>
      <c r="AG39" s="17">
        <f t="shared" si="30"/>
        <v>1</v>
      </c>
      <c r="AH39" s="17">
        <f t="shared" si="31"/>
        <v>1</v>
      </c>
      <c r="AI39" s="17">
        <f t="shared" si="32"/>
        <v>2</v>
      </c>
      <c r="AJ39" s="17">
        <f t="shared" si="33"/>
        <v>1</v>
      </c>
      <c r="AL39" s="21">
        <f t="shared" si="34"/>
        <v>2</v>
      </c>
      <c r="AM39" s="21">
        <f t="shared" si="35"/>
        <v>12</v>
      </c>
      <c r="AN39" s="22">
        <f t="shared" si="36"/>
        <v>71.428571428571431</v>
      </c>
    </row>
    <row r="40" spans="1:40" x14ac:dyDescent="0.25">
      <c r="A40" s="25">
        <v>139</v>
      </c>
      <c r="B40" s="9">
        <v>5</v>
      </c>
      <c r="C40" s="9">
        <v>5</v>
      </c>
      <c r="D40" s="9">
        <v>5</v>
      </c>
      <c r="E40" s="9">
        <v>5</v>
      </c>
      <c r="F40" s="9">
        <v>5</v>
      </c>
      <c r="G40" s="9">
        <v>5</v>
      </c>
      <c r="H40" s="9">
        <v>5</v>
      </c>
      <c r="I40" s="9">
        <v>5</v>
      </c>
      <c r="J40" s="9">
        <v>5</v>
      </c>
      <c r="K40" s="9">
        <v>5</v>
      </c>
      <c r="L40" s="9">
        <v>2</v>
      </c>
      <c r="M40" s="9">
        <v>2</v>
      </c>
      <c r="N40" s="10" t="s">
        <v>90</v>
      </c>
      <c r="O40" s="10" t="s">
        <v>91</v>
      </c>
      <c r="Q40" s="19">
        <f t="shared" si="14"/>
        <v>0</v>
      </c>
      <c r="R40" s="19">
        <f t="shared" si="15"/>
        <v>0</v>
      </c>
      <c r="S40" s="19">
        <f t="shared" si="16"/>
        <v>0</v>
      </c>
      <c r="T40" s="19">
        <f t="shared" si="17"/>
        <v>0</v>
      </c>
      <c r="U40" s="19">
        <f t="shared" si="18"/>
        <v>0</v>
      </c>
      <c r="V40" s="19">
        <f t="shared" si="19"/>
        <v>0</v>
      </c>
      <c r="W40" s="19">
        <f t="shared" si="20"/>
        <v>0</v>
      </c>
      <c r="X40" s="19">
        <f t="shared" si="21"/>
        <v>0</v>
      </c>
      <c r="Y40" s="19">
        <f t="shared" si="22"/>
        <v>0</v>
      </c>
      <c r="Z40" s="19">
        <f t="shared" si="23"/>
        <v>0</v>
      </c>
      <c r="AA40" s="17">
        <f t="shared" si="24"/>
        <v>2</v>
      </c>
      <c r="AB40" s="17">
        <f t="shared" si="25"/>
        <v>2</v>
      </c>
      <c r="AC40" s="17">
        <f t="shared" si="26"/>
        <v>2</v>
      </c>
      <c r="AD40" s="17">
        <f t="shared" si="27"/>
        <v>2</v>
      </c>
      <c r="AE40" s="17">
        <f t="shared" si="28"/>
        <v>2</v>
      </c>
      <c r="AF40" s="17">
        <f t="shared" si="29"/>
        <v>2</v>
      </c>
      <c r="AG40" s="17">
        <f t="shared" si="30"/>
        <v>2</v>
      </c>
      <c r="AH40" s="17">
        <f t="shared" si="31"/>
        <v>2</v>
      </c>
      <c r="AI40" s="17">
        <f t="shared" si="32"/>
        <v>2</v>
      </c>
      <c r="AJ40" s="17">
        <f t="shared" si="33"/>
        <v>2</v>
      </c>
      <c r="AL40" s="21">
        <f t="shared" si="34"/>
        <v>0</v>
      </c>
      <c r="AM40" s="21">
        <f t="shared" si="35"/>
        <v>20</v>
      </c>
      <c r="AN40" s="22">
        <f t="shared" si="36"/>
        <v>100</v>
      </c>
    </row>
    <row r="41" spans="1:40" x14ac:dyDescent="0.25">
      <c r="A41" s="25">
        <v>124</v>
      </c>
      <c r="B41" s="9">
        <v>5</v>
      </c>
      <c r="C41" s="9">
        <v>5</v>
      </c>
      <c r="D41" s="9">
        <v>5</v>
      </c>
      <c r="E41" s="9">
        <v>5</v>
      </c>
      <c r="F41" s="9">
        <v>5</v>
      </c>
      <c r="G41" s="9">
        <v>5</v>
      </c>
      <c r="H41" s="9">
        <v>4</v>
      </c>
      <c r="I41" s="9">
        <v>4</v>
      </c>
      <c r="J41" s="9">
        <v>4</v>
      </c>
      <c r="K41" s="9">
        <v>4</v>
      </c>
      <c r="L41" s="9">
        <v>2</v>
      </c>
      <c r="M41" s="9">
        <v>2</v>
      </c>
      <c r="N41" s="10" t="s">
        <v>94</v>
      </c>
      <c r="O41" s="10" t="s">
        <v>91</v>
      </c>
      <c r="Q41" s="19">
        <f t="shared" si="14"/>
        <v>0</v>
      </c>
      <c r="R41" s="19">
        <f t="shared" si="15"/>
        <v>0</v>
      </c>
      <c r="S41" s="19">
        <f t="shared" si="16"/>
        <v>0</v>
      </c>
      <c r="T41" s="19">
        <f t="shared" si="17"/>
        <v>0</v>
      </c>
      <c r="U41" s="19">
        <f t="shared" si="18"/>
        <v>0</v>
      </c>
      <c r="V41" s="19">
        <f t="shared" si="19"/>
        <v>0</v>
      </c>
      <c r="W41" s="19">
        <f t="shared" si="20"/>
        <v>0</v>
      </c>
      <c r="X41" s="19">
        <f t="shared" si="21"/>
        <v>0</v>
      </c>
      <c r="Y41" s="19">
        <f t="shared" si="22"/>
        <v>0</v>
      </c>
      <c r="Z41" s="19">
        <f t="shared" si="23"/>
        <v>0</v>
      </c>
      <c r="AA41" s="17">
        <f t="shared" si="24"/>
        <v>2</v>
      </c>
      <c r="AB41" s="17">
        <f t="shared" si="25"/>
        <v>2</v>
      </c>
      <c r="AC41" s="17">
        <f t="shared" si="26"/>
        <v>2</v>
      </c>
      <c r="AD41" s="17">
        <f t="shared" si="27"/>
        <v>2</v>
      </c>
      <c r="AE41" s="17">
        <f t="shared" si="28"/>
        <v>2</v>
      </c>
      <c r="AF41" s="17">
        <f t="shared" si="29"/>
        <v>2</v>
      </c>
      <c r="AG41" s="17">
        <f t="shared" si="30"/>
        <v>1</v>
      </c>
      <c r="AH41" s="17">
        <f t="shared" si="31"/>
        <v>1</v>
      </c>
      <c r="AI41" s="17">
        <f t="shared" si="32"/>
        <v>1</v>
      </c>
      <c r="AJ41" s="17">
        <f t="shared" si="33"/>
        <v>1</v>
      </c>
      <c r="AL41" s="21">
        <f t="shared" si="34"/>
        <v>0</v>
      </c>
      <c r="AM41" s="21">
        <f t="shared" si="35"/>
        <v>16</v>
      </c>
      <c r="AN41" s="22">
        <f t="shared" si="36"/>
        <v>100</v>
      </c>
    </row>
    <row r="42" spans="1:40" x14ac:dyDescent="0.25">
      <c r="A42" s="25">
        <v>140</v>
      </c>
      <c r="B42" s="9">
        <v>5</v>
      </c>
      <c r="C42" s="9">
        <v>5</v>
      </c>
      <c r="D42" s="9">
        <v>5</v>
      </c>
      <c r="E42" s="9">
        <v>5</v>
      </c>
      <c r="F42" s="9">
        <v>5</v>
      </c>
      <c r="G42" s="9">
        <v>5</v>
      </c>
      <c r="H42" s="9">
        <v>5</v>
      </c>
      <c r="I42" s="9">
        <v>5</v>
      </c>
      <c r="J42" s="9">
        <v>5</v>
      </c>
      <c r="K42" s="9">
        <v>5</v>
      </c>
      <c r="L42" s="9">
        <v>2</v>
      </c>
      <c r="M42" s="9">
        <v>2</v>
      </c>
      <c r="N42" s="10" t="s">
        <v>92</v>
      </c>
      <c r="O42" s="10" t="s">
        <v>91</v>
      </c>
      <c r="Q42" s="19">
        <f t="shared" si="14"/>
        <v>0</v>
      </c>
      <c r="R42" s="19">
        <f t="shared" si="15"/>
        <v>0</v>
      </c>
      <c r="S42" s="19">
        <f t="shared" si="16"/>
        <v>0</v>
      </c>
      <c r="T42" s="19">
        <f t="shared" si="17"/>
        <v>0</v>
      </c>
      <c r="U42" s="19">
        <f t="shared" si="18"/>
        <v>0</v>
      </c>
      <c r="V42" s="19">
        <f t="shared" si="19"/>
        <v>0</v>
      </c>
      <c r="W42" s="19">
        <f t="shared" si="20"/>
        <v>0</v>
      </c>
      <c r="X42" s="19">
        <f t="shared" si="21"/>
        <v>0</v>
      </c>
      <c r="Y42" s="19">
        <f t="shared" si="22"/>
        <v>0</v>
      </c>
      <c r="Z42" s="19">
        <f t="shared" si="23"/>
        <v>0</v>
      </c>
      <c r="AA42" s="17">
        <f t="shared" si="24"/>
        <v>2</v>
      </c>
      <c r="AB42" s="17">
        <f t="shared" si="25"/>
        <v>2</v>
      </c>
      <c r="AC42" s="17">
        <f t="shared" si="26"/>
        <v>2</v>
      </c>
      <c r="AD42" s="17">
        <f t="shared" si="27"/>
        <v>2</v>
      </c>
      <c r="AE42" s="17">
        <f t="shared" si="28"/>
        <v>2</v>
      </c>
      <c r="AF42" s="17">
        <f t="shared" si="29"/>
        <v>2</v>
      </c>
      <c r="AG42" s="17">
        <f t="shared" si="30"/>
        <v>2</v>
      </c>
      <c r="AH42" s="17">
        <f t="shared" si="31"/>
        <v>2</v>
      </c>
      <c r="AI42" s="17">
        <f t="shared" si="32"/>
        <v>2</v>
      </c>
      <c r="AJ42" s="17">
        <f t="shared" si="33"/>
        <v>2</v>
      </c>
      <c r="AL42" s="21">
        <f t="shared" si="34"/>
        <v>0</v>
      </c>
      <c r="AM42" s="21">
        <f t="shared" si="35"/>
        <v>20</v>
      </c>
      <c r="AN42" s="22">
        <f t="shared" si="36"/>
        <v>100</v>
      </c>
    </row>
    <row r="43" spans="1:40" x14ac:dyDescent="0.25">
      <c r="A43" s="25">
        <v>141</v>
      </c>
      <c r="B43" s="9">
        <v>4</v>
      </c>
      <c r="C43" s="9">
        <v>4</v>
      </c>
      <c r="D43" s="9">
        <v>4</v>
      </c>
      <c r="E43" s="9">
        <v>4</v>
      </c>
      <c r="F43" s="9">
        <v>3</v>
      </c>
      <c r="G43" s="9">
        <v>4</v>
      </c>
      <c r="H43" s="9">
        <v>4</v>
      </c>
      <c r="I43" s="9">
        <v>4</v>
      </c>
      <c r="J43" s="9">
        <v>4</v>
      </c>
      <c r="K43" s="9">
        <v>4</v>
      </c>
      <c r="L43" s="9">
        <v>2</v>
      </c>
      <c r="M43" s="9">
        <v>1</v>
      </c>
      <c r="N43" s="10" t="s">
        <v>92</v>
      </c>
      <c r="O43" s="10" t="s">
        <v>91</v>
      </c>
      <c r="Q43" s="19">
        <f t="shared" si="14"/>
        <v>0</v>
      </c>
      <c r="R43" s="19">
        <f t="shared" si="15"/>
        <v>0</v>
      </c>
      <c r="S43" s="19">
        <f t="shared" si="16"/>
        <v>0</v>
      </c>
      <c r="T43" s="19">
        <f t="shared" si="17"/>
        <v>0</v>
      </c>
      <c r="U43" s="19">
        <f t="shared" si="18"/>
        <v>1</v>
      </c>
      <c r="V43" s="19">
        <f t="shared" si="19"/>
        <v>0</v>
      </c>
      <c r="W43" s="19">
        <f t="shared" si="20"/>
        <v>0</v>
      </c>
      <c r="X43" s="19">
        <f t="shared" si="21"/>
        <v>0</v>
      </c>
      <c r="Y43" s="19">
        <f t="shared" si="22"/>
        <v>0</v>
      </c>
      <c r="Z43" s="19">
        <f t="shared" si="23"/>
        <v>0</v>
      </c>
      <c r="AA43" s="17">
        <f t="shared" si="24"/>
        <v>1</v>
      </c>
      <c r="AB43" s="17">
        <f t="shared" si="25"/>
        <v>1</v>
      </c>
      <c r="AC43" s="17">
        <f t="shared" si="26"/>
        <v>1</v>
      </c>
      <c r="AD43" s="17">
        <f t="shared" si="27"/>
        <v>1</v>
      </c>
      <c r="AE43" s="17">
        <f t="shared" si="28"/>
        <v>1</v>
      </c>
      <c r="AF43" s="17">
        <f t="shared" si="29"/>
        <v>1</v>
      </c>
      <c r="AG43" s="17">
        <f t="shared" si="30"/>
        <v>1</v>
      </c>
      <c r="AH43" s="17">
        <f t="shared" si="31"/>
        <v>1</v>
      </c>
      <c r="AI43" s="17">
        <f t="shared" si="32"/>
        <v>1</v>
      </c>
      <c r="AJ43" s="17">
        <f t="shared" si="33"/>
        <v>1</v>
      </c>
      <c r="AL43" s="21">
        <f t="shared" si="34"/>
        <v>1</v>
      </c>
      <c r="AM43" s="21">
        <f t="shared" si="35"/>
        <v>10</v>
      </c>
      <c r="AN43" s="22">
        <f t="shared" si="36"/>
        <v>81.818181818181827</v>
      </c>
    </row>
    <row r="44" spans="1:40" x14ac:dyDescent="0.25">
      <c r="A44" s="25">
        <v>142</v>
      </c>
      <c r="B44" s="9">
        <v>5</v>
      </c>
      <c r="C44" s="9">
        <v>5</v>
      </c>
      <c r="D44" s="9">
        <v>5</v>
      </c>
      <c r="E44" s="9">
        <v>5</v>
      </c>
      <c r="F44" s="9">
        <v>5</v>
      </c>
      <c r="G44" s="9">
        <v>5</v>
      </c>
      <c r="H44" s="9">
        <v>5</v>
      </c>
      <c r="I44" s="9">
        <v>5</v>
      </c>
      <c r="J44" s="9">
        <v>5</v>
      </c>
      <c r="K44" s="9">
        <v>5</v>
      </c>
      <c r="L44" s="9">
        <v>2</v>
      </c>
      <c r="M44" s="9">
        <v>2</v>
      </c>
      <c r="N44" s="10" t="s">
        <v>90</v>
      </c>
      <c r="O44" s="10" t="s">
        <v>91</v>
      </c>
      <c r="Q44" s="19">
        <f t="shared" si="14"/>
        <v>0</v>
      </c>
      <c r="R44" s="19">
        <f t="shared" si="15"/>
        <v>0</v>
      </c>
      <c r="S44" s="19">
        <f t="shared" si="16"/>
        <v>0</v>
      </c>
      <c r="T44" s="19">
        <f t="shared" si="17"/>
        <v>0</v>
      </c>
      <c r="U44" s="19">
        <f t="shared" si="18"/>
        <v>0</v>
      </c>
      <c r="V44" s="19">
        <f t="shared" si="19"/>
        <v>0</v>
      </c>
      <c r="W44" s="19">
        <f t="shared" si="20"/>
        <v>0</v>
      </c>
      <c r="X44" s="19">
        <f t="shared" si="21"/>
        <v>0</v>
      </c>
      <c r="Y44" s="19">
        <f t="shared" si="22"/>
        <v>0</v>
      </c>
      <c r="Z44" s="19">
        <f t="shared" si="23"/>
        <v>0</v>
      </c>
      <c r="AA44" s="17">
        <f t="shared" si="24"/>
        <v>2</v>
      </c>
      <c r="AB44" s="17">
        <f t="shared" si="25"/>
        <v>2</v>
      </c>
      <c r="AC44" s="17">
        <f t="shared" si="26"/>
        <v>2</v>
      </c>
      <c r="AD44" s="17">
        <f t="shared" si="27"/>
        <v>2</v>
      </c>
      <c r="AE44" s="17">
        <f t="shared" si="28"/>
        <v>2</v>
      </c>
      <c r="AF44" s="17">
        <f t="shared" si="29"/>
        <v>2</v>
      </c>
      <c r="AG44" s="17">
        <f t="shared" si="30"/>
        <v>2</v>
      </c>
      <c r="AH44" s="17">
        <f t="shared" si="31"/>
        <v>2</v>
      </c>
      <c r="AI44" s="17">
        <f t="shared" si="32"/>
        <v>2</v>
      </c>
      <c r="AJ44" s="17">
        <f t="shared" si="33"/>
        <v>2</v>
      </c>
      <c r="AL44" s="21">
        <f t="shared" si="34"/>
        <v>0</v>
      </c>
      <c r="AM44" s="21">
        <f t="shared" si="35"/>
        <v>20</v>
      </c>
      <c r="AN44" s="22">
        <f t="shared" si="36"/>
        <v>100</v>
      </c>
    </row>
    <row r="45" spans="1:40" x14ac:dyDescent="0.25">
      <c r="A45" s="25">
        <v>143</v>
      </c>
      <c r="B45" s="9">
        <v>5</v>
      </c>
      <c r="C45" s="9">
        <v>5</v>
      </c>
      <c r="D45" s="9">
        <v>5</v>
      </c>
      <c r="E45" s="9">
        <v>5</v>
      </c>
      <c r="F45" s="9">
        <v>5</v>
      </c>
      <c r="G45" s="9">
        <v>5</v>
      </c>
      <c r="H45" s="9">
        <v>5</v>
      </c>
      <c r="I45" s="9">
        <v>5</v>
      </c>
      <c r="J45" s="9">
        <v>5</v>
      </c>
      <c r="K45" s="9">
        <v>5</v>
      </c>
      <c r="L45" s="9">
        <v>1</v>
      </c>
      <c r="M45" s="9">
        <v>2</v>
      </c>
      <c r="N45" s="10" t="s">
        <v>90</v>
      </c>
      <c r="O45" s="10" t="s">
        <v>91</v>
      </c>
      <c r="Q45" s="19">
        <f t="shared" si="14"/>
        <v>0</v>
      </c>
      <c r="R45" s="19">
        <f t="shared" si="15"/>
        <v>0</v>
      </c>
      <c r="S45" s="19">
        <f t="shared" si="16"/>
        <v>0</v>
      </c>
      <c r="T45" s="19">
        <f t="shared" si="17"/>
        <v>0</v>
      </c>
      <c r="U45" s="19">
        <f t="shared" si="18"/>
        <v>0</v>
      </c>
      <c r="V45" s="19">
        <f t="shared" si="19"/>
        <v>0</v>
      </c>
      <c r="W45" s="19">
        <f t="shared" si="20"/>
        <v>0</v>
      </c>
      <c r="X45" s="19">
        <f t="shared" si="21"/>
        <v>0</v>
      </c>
      <c r="Y45" s="19">
        <f t="shared" si="22"/>
        <v>0</v>
      </c>
      <c r="Z45" s="19">
        <f t="shared" si="23"/>
        <v>0</v>
      </c>
      <c r="AA45" s="17">
        <f t="shared" si="24"/>
        <v>2</v>
      </c>
      <c r="AB45" s="17">
        <f t="shared" si="25"/>
        <v>2</v>
      </c>
      <c r="AC45" s="17">
        <f t="shared" si="26"/>
        <v>2</v>
      </c>
      <c r="AD45" s="17">
        <f t="shared" si="27"/>
        <v>2</v>
      </c>
      <c r="AE45" s="17">
        <f t="shared" si="28"/>
        <v>2</v>
      </c>
      <c r="AF45" s="17">
        <f t="shared" si="29"/>
        <v>2</v>
      </c>
      <c r="AG45" s="17">
        <f t="shared" si="30"/>
        <v>2</v>
      </c>
      <c r="AH45" s="17">
        <f t="shared" si="31"/>
        <v>2</v>
      </c>
      <c r="AI45" s="17">
        <f t="shared" si="32"/>
        <v>2</v>
      </c>
      <c r="AJ45" s="17">
        <f t="shared" si="33"/>
        <v>2</v>
      </c>
      <c r="AL45" s="21">
        <f t="shared" si="34"/>
        <v>0</v>
      </c>
      <c r="AM45" s="21">
        <f t="shared" si="35"/>
        <v>20</v>
      </c>
      <c r="AN45" s="22">
        <f t="shared" si="36"/>
        <v>100</v>
      </c>
    </row>
    <row r="46" spans="1:40" x14ac:dyDescent="0.25">
      <c r="A46" s="25">
        <v>144</v>
      </c>
      <c r="B46" s="9">
        <v>5</v>
      </c>
      <c r="C46" s="9">
        <v>5</v>
      </c>
      <c r="D46" s="9">
        <v>5</v>
      </c>
      <c r="E46" s="9">
        <v>5</v>
      </c>
      <c r="F46" s="9">
        <v>3</v>
      </c>
      <c r="G46" s="9">
        <v>4</v>
      </c>
      <c r="H46" s="9">
        <v>4</v>
      </c>
      <c r="I46" s="9">
        <v>3</v>
      </c>
      <c r="J46" s="9">
        <v>4</v>
      </c>
      <c r="K46" s="9">
        <v>4</v>
      </c>
      <c r="L46" s="9">
        <v>2</v>
      </c>
      <c r="M46" s="9">
        <v>2</v>
      </c>
      <c r="N46" s="10" t="s">
        <v>94</v>
      </c>
      <c r="O46" s="10" t="s">
        <v>91</v>
      </c>
      <c r="Q46" s="19">
        <f t="shared" si="14"/>
        <v>0</v>
      </c>
      <c r="R46" s="19">
        <f t="shared" si="15"/>
        <v>0</v>
      </c>
      <c r="S46" s="19">
        <f t="shared" si="16"/>
        <v>0</v>
      </c>
      <c r="T46" s="19">
        <f t="shared" si="17"/>
        <v>0</v>
      </c>
      <c r="U46" s="19">
        <f t="shared" si="18"/>
        <v>1</v>
      </c>
      <c r="V46" s="19">
        <f t="shared" si="19"/>
        <v>0</v>
      </c>
      <c r="W46" s="19">
        <f t="shared" si="20"/>
        <v>0</v>
      </c>
      <c r="X46" s="19">
        <f t="shared" si="21"/>
        <v>1</v>
      </c>
      <c r="Y46" s="19">
        <f t="shared" si="22"/>
        <v>0</v>
      </c>
      <c r="Z46" s="19">
        <f t="shared" si="23"/>
        <v>0</v>
      </c>
      <c r="AA46" s="17">
        <f t="shared" si="24"/>
        <v>2</v>
      </c>
      <c r="AB46" s="17">
        <f t="shared" si="25"/>
        <v>2</v>
      </c>
      <c r="AC46" s="17">
        <f t="shared" si="26"/>
        <v>2</v>
      </c>
      <c r="AD46" s="17">
        <f t="shared" si="27"/>
        <v>2</v>
      </c>
      <c r="AE46" s="17">
        <f t="shared" si="28"/>
        <v>1</v>
      </c>
      <c r="AF46" s="17">
        <f t="shared" si="29"/>
        <v>1</v>
      </c>
      <c r="AG46" s="17">
        <f t="shared" si="30"/>
        <v>1</v>
      </c>
      <c r="AH46" s="17">
        <f t="shared" si="31"/>
        <v>1</v>
      </c>
      <c r="AI46" s="17">
        <f t="shared" si="32"/>
        <v>1</v>
      </c>
      <c r="AJ46" s="17">
        <f t="shared" si="33"/>
        <v>1</v>
      </c>
      <c r="AL46" s="21">
        <f t="shared" si="34"/>
        <v>2</v>
      </c>
      <c r="AM46" s="21">
        <f t="shared" si="35"/>
        <v>14</v>
      </c>
      <c r="AN46" s="22">
        <f t="shared" si="36"/>
        <v>75</v>
      </c>
    </row>
    <row r="47" spans="1:40" x14ac:dyDescent="0.25">
      <c r="A47" s="25">
        <v>145</v>
      </c>
      <c r="B47" s="9">
        <v>5</v>
      </c>
      <c r="C47" s="9">
        <v>5</v>
      </c>
      <c r="D47" s="9">
        <v>4</v>
      </c>
      <c r="E47" s="9">
        <v>5</v>
      </c>
      <c r="F47" s="9">
        <v>3</v>
      </c>
      <c r="G47" s="9">
        <v>3</v>
      </c>
      <c r="H47" s="9">
        <v>4</v>
      </c>
      <c r="I47" s="9">
        <v>3</v>
      </c>
      <c r="J47" s="9">
        <v>5</v>
      </c>
      <c r="K47" s="9">
        <v>3</v>
      </c>
      <c r="L47" s="9">
        <v>2</v>
      </c>
      <c r="M47" s="9">
        <v>2</v>
      </c>
      <c r="N47" s="10" t="s">
        <v>94</v>
      </c>
      <c r="O47" s="10" t="s">
        <v>91</v>
      </c>
      <c r="Q47" s="19">
        <f t="shared" si="14"/>
        <v>0</v>
      </c>
      <c r="R47" s="19">
        <f t="shared" si="15"/>
        <v>0</v>
      </c>
      <c r="S47" s="19">
        <f t="shared" si="16"/>
        <v>0</v>
      </c>
      <c r="T47" s="19">
        <f t="shared" si="17"/>
        <v>0</v>
      </c>
      <c r="U47" s="19">
        <f t="shared" si="18"/>
        <v>1</v>
      </c>
      <c r="V47" s="19">
        <f t="shared" si="19"/>
        <v>1</v>
      </c>
      <c r="W47" s="19">
        <f t="shared" si="20"/>
        <v>0</v>
      </c>
      <c r="X47" s="19">
        <f t="shared" si="21"/>
        <v>1</v>
      </c>
      <c r="Y47" s="19">
        <f t="shared" si="22"/>
        <v>0</v>
      </c>
      <c r="Z47" s="19">
        <f t="shared" si="23"/>
        <v>1</v>
      </c>
      <c r="AA47" s="17">
        <f t="shared" si="24"/>
        <v>2</v>
      </c>
      <c r="AB47" s="17">
        <f t="shared" si="25"/>
        <v>2</v>
      </c>
      <c r="AC47" s="17">
        <f t="shared" si="26"/>
        <v>1</v>
      </c>
      <c r="AD47" s="17">
        <f t="shared" si="27"/>
        <v>2</v>
      </c>
      <c r="AE47" s="17">
        <f t="shared" si="28"/>
        <v>1</v>
      </c>
      <c r="AF47" s="17">
        <f t="shared" si="29"/>
        <v>1</v>
      </c>
      <c r="AG47" s="17">
        <f t="shared" si="30"/>
        <v>1</v>
      </c>
      <c r="AH47" s="17">
        <f t="shared" si="31"/>
        <v>1</v>
      </c>
      <c r="AI47" s="17">
        <f t="shared" si="32"/>
        <v>2</v>
      </c>
      <c r="AJ47" s="17">
        <f t="shared" si="33"/>
        <v>1</v>
      </c>
      <c r="AL47" s="21">
        <f t="shared" si="34"/>
        <v>4</v>
      </c>
      <c r="AM47" s="21">
        <f t="shared" si="35"/>
        <v>14</v>
      </c>
      <c r="AN47" s="22">
        <f t="shared" si="36"/>
        <v>55.555555555555557</v>
      </c>
    </row>
    <row r="48" spans="1:40" x14ac:dyDescent="0.25">
      <c r="A48" s="25">
        <v>146</v>
      </c>
      <c r="B48" s="9">
        <v>5</v>
      </c>
      <c r="C48" s="9">
        <v>5</v>
      </c>
      <c r="D48" s="9">
        <v>5</v>
      </c>
      <c r="E48" s="9">
        <v>5</v>
      </c>
      <c r="F48" s="9">
        <v>5</v>
      </c>
      <c r="G48" s="9">
        <v>5</v>
      </c>
      <c r="H48" s="9">
        <v>5</v>
      </c>
      <c r="I48" s="9">
        <v>5</v>
      </c>
      <c r="J48" s="9">
        <v>5</v>
      </c>
      <c r="K48" s="9">
        <v>5</v>
      </c>
      <c r="L48" s="9">
        <v>1</v>
      </c>
      <c r="M48" s="9">
        <v>2</v>
      </c>
      <c r="N48" s="10" t="s">
        <v>94</v>
      </c>
      <c r="O48" s="10" t="s">
        <v>91</v>
      </c>
      <c r="Q48" s="19">
        <f t="shared" si="14"/>
        <v>0</v>
      </c>
      <c r="R48" s="19">
        <f t="shared" si="15"/>
        <v>0</v>
      </c>
      <c r="S48" s="19">
        <f t="shared" si="16"/>
        <v>0</v>
      </c>
      <c r="T48" s="19">
        <f t="shared" si="17"/>
        <v>0</v>
      </c>
      <c r="U48" s="19">
        <f t="shared" si="18"/>
        <v>0</v>
      </c>
      <c r="V48" s="19">
        <f t="shared" si="19"/>
        <v>0</v>
      </c>
      <c r="W48" s="19">
        <f t="shared" si="20"/>
        <v>0</v>
      </c>
      <c r="X48" s="19">
        <f t="shared" si="21"/>
        <v>0</v>
      </c>
      <c r="Y48" s="19">
        <f t="shared" si="22"/>
        <v>0</v>
      </c>
      <c r="Z48" s="19">
        <f t="shared" si="23"/>
        <v>0</v>
      </c>
      <c r="AA48" s="17">
        <f t="shared" si="24"/>
        <v>2</v>
      </c>
      <c r="AB48" s="17">
        <f t="shared" si="25"/>
        <v>2</v>
      </c>
      <c r="AC48" s="17">
        <f t="shared" si="26"/>
        <v>2</v>
      </c>
      <c r="AD48" s="17">
        <f t="shared" si="27"/>
        <v>2</v>
      </c>
      <c r="AE48" s="17">
        <f t="shared" si="28"/>
        <v>2</v>
      </c>
      <c r="AF48" s="17">
        <f t="shared" si="29"/>
        <v>2</v>
      </c>
      <c r="AG48" s="17">
        <f t="shared" si="30"/>
        <v>2</v>
      </c>
      <c r="AH48" s="17">
        <f t="shared" si="31"/>
        <v>2</v>
      </c>
      <c r="AI48" s="17">
        <f t="shared" si="32"/>
        <v>2</v>
      </c>
      <c r="AJ48" s="17">
        <f t="shared" si="33"/>
        <v>2</v>
      </c>
      <c r="AL48" s="21">
        <f t="shared" si="34"/>
        <v>0</v>
      </c>
      <c r="AM48" s="21">
        <f t="shared" si="35"/>
        <v>20</v>
      </c>
      <c r="AN48" s="22">
        <f t="shared" si="36"/>
        <v>100</v>
      </c>
    </row>
    <row r="49" spans="1:40" x14ac:dyDescent="0.25">
      <c r="A49" s="25">
        <v>147</v>
      </c>
      <c r="B49" s="9">
        <v>5</v>
      </c>
      <c r="C49" s="9">
        <v>5</v>
      </c>
      <c r="D49" s="9">
        <v>5</v>
      </c>
      <c r="E49" s="9">
        <v>5</v>
      </c>
      <c r="F49" s="9">
        <v>4</v>
      </c>
      <c r="G49" s="9">
        <v>4</v>
      </c>
      <c r="H49" s="9">
        <v>5</v>
      </c>
      <c r="I49" s="9">
        <v>5</v>
      </c>
      <c r="J49" s="9">
        <v>5</v>
      </c>
      <c r="K49" s="9">
        <v>5</v>
      </c>
      <c r="L49" s="9">
        <v>1</v>
      </c>
      <c r="M49" s="9">
        <v>2</v>
      </c>
      <c r="N49" s="10" t="s">
        <v>90</v>
      </c>
      <c r="O49" s="10" t="s">
        <v>91</v>
      </c>
      <c r="Q49" s="19">
        <f t="shared" si="14"/>
        <v>0</v>
      </c>
      <c r="R49" s="19">
        <f t="shared" si="15"/>
        <v>0</v>
      </c>
      <c r="S49" s="19">
        <f t="shared" si="16"/>
        <v>0</v>
      </c>
      <c r="T49" s="19">
        <f t="shared" si="17"/>
        <v>0</v>
      </c>
      <c r="U49" s="19">
        <f t="shared" si="18"/>
        <v>0</v>
      </c>
      <c r="V49" s="19">
        <f t="shared" si="19"/>
        <v>0</v>
      </c>
      <c r="W49" s="19">
        <f t="shared" si="20"/>
        <v>0</v>
      </c>
      <c r="X49" s="19">
        <f t="shared" si="21"/>
        <v>0</v>
      </c>
      <c r="Y49" s="19">
        <f t="shared" si="22"/>
        <v>0</v>
      </c>
      <c r="Z49" s="19">
        <f t="shared" si="23"/>
        <v>0</v>
      </c>
      <c r="AA49" s="17">
        <f t="shared" si="24"/>
        <v>2</v>
      </c>
      <c r="AB49" s="17">
        <f t="shared" si="25"/>
        <v>2</v>
      </c>
      <c r="AC49" s="17">
        <f t="shared" si="26"/>
        <v>2</v>
      </c>
      <c r="AD49" s="17">
        <f t="shared" si="27"/>
        <v>2</v>
      </c>
      <c r="AE49" s="17">
        <f t="shared" si="28"/>
        <v>1</v>
      </c>
      <c r="AF49" s="17">
        <f t="shared" si="29"/>
        <v>1</v>
      </c>
      <c r="AG49" s="17">
        <f t="shared" si="30"/>
        <v>2</v>
      </c>
      <c r="AH49" s="17">
        <f t="shared" si="31"/>
        <v>2</v>
      </c>
      <c r="AI49" s="17">
        <f t="shared" si="32"/>
        <v>2</v>
      </c>
      <c r="AJ49" s="17">
        <f t="shared" si="33"/>
        <v>2</v>
      </c>
      <c r="AL49" s="21">
        <f t="shared" si="34"/>
        <v>0</v>
      </c>
      <c r="AM49" s="21">
        <f t="shared" si="35"/>
        <v>18</v>
      </c>
      <c r="AN49" s="22">
        <f t="shared" si="36"/>
        <v>100</v>
      </c>
    </row>
    <row r="50" spans="1:40" x14ac:dyDescent="0.25">
      <c r="A50" s="25">
        <v>148</v>
      </c>
      <c r="B50" s="9">
        <v>5</v>
      </c>
      <c r="C50" s="9">
        <v>5</v>
      </c>
      <c r="D50" s="9">
        <v>5</v>
      </c>
      <c r="E50" s="9">
        <v>5</v>
      </c>
      <c r="F50" s="9">
        <v>5</v>
      </c>
      <c r="G50" s="9">
        <v>5</v>
      </c>
      <c r="H50" s="9">
        <v>5</v>
      </c>
      <c r="I50" s="9">
        <v>4</v>
      </c>
      <c r="J50" s="9">
        <v>5</v>
      </c>
      <c r="K50" s="9">
        <v>5</v>
      </c>
      <c r="L50" s="9">
        <v>2</v>
      </c>
      <c r="M50" s="9">
        <v>2</v>
      </c>
      <c r="N50" s="10" t="s">
        <v>94</v>
      </c>
      <c r="O50" s="10" t="s">
        <v>91</v>
      </c>
      <c r="Q50" s="19">
        <f t="shared" si="14"/>
        <v>0</v>
      </c>
      <c r="R50" s="19">
        <f t="shared" si="15"/>
        <v>0</v>
      </c>
      <c r="S50" s="19">
        <f t="shared" si="16"/>
        <v>0</v>
      </c>
      <c r="T50" s="19">
        <f t="shared" si="17"/>
        <v>0</v>
      </c>
      <c r="U50" s="19">
        <f t="shared" si="18"/>
        <v>0</v>
      </c>
      <c r="V50" s="19">
        <f t="shared" si="19"/>
        <v>0</v>
      </c>
      <c r="W50" s="19">
        <f t="shared" si="20"/>
        <v>0</v>
      </c>
      <c r="X50" s="19">
        <f t="shared" si="21"/>
        <v>0</v>
      </c>
      <c r="Y50" s="19">
        <f t="shared" si="22"/>
        <v>0</v>
      </c>
      <c r="Z50" s="19">
        <f t="shared" si="23"/>
        <v>0</v>
      </c>
      <c r="AA50" s="17">
        <f t="shared" si="24"/>
        <v>2</v>
      </c>
      <c r="AB50" s="17">
        <f t="shared" si="25"/>
        <v>2</v>
      </c>
      <c r="AC50" s="17">
        <f t="shared" si="26"/>
        <v>2</v>
      </c>
      <c r="AD50" s="17">
        <f t="shared" si="27"/>
        <v>2</v>
      </c>
      <c r="AE50" s="17">
        <f t="shared" si="28"/>
        <v>2</v>
      </c>
      <c r="AF50" s="17">
        <f t="shared" si="29"/>
        <v>2</v>
      </c>
      <c r="AG50" s="17">
        <f t="shared" si="30"/>
        <v>2</v>
      </c>
      <c r="AH50" s="17">
        <f t="shared" si="31"/>
        <v>1</v>
      </c>
      <c r="AI50" s="17">
        <f t="shared" si="32"/>
        <v>2</v>
      </c>
      <c r="AJ50" s="17">
        <f t="shared" si="33"/>
        <v>2</v>
      </c>
      <c r="AL50" s="21">
        <f t="shared" si="34"/>
        <v>0</v>
      </c>
      <c r="AM50" s="21">
        <f t="shared" si="35"/>
        <v>19</v>
      </c>
      <c r="AN50" s="22">
        <f t="shared" si="36"/>
        <v>100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09541-D13D-46FC-8CF8-C09AE1CC86E2}">
  <dimension ref="A1:F63"/>
  <sheetViews>
    <sheetView topLeftCell="A20" workbookViewId="0">
      <selection activeCell="A20" sqref="A1:XFD1048576"/>
    </sheetView>
  </sheetViews>
  <sheetFormatPr baseColWidth="10" defaultRowHeight="15" x14ac:dyDescent="0.25"/>
  <cols>
    <col min="1" max="1" width="21.85546875" style="24" bestFit="1" customWidth="1"/>
    <col min="2" max="4" width="11.42578125" style="2"/>
  </cols>
  <sheetData>
    <row r="1" spans="1:4" x14ac:dyDescent="0.25">
      <c r="A1" s="26" t="s">
        <v>60</v>
      </c>
      <c r="B1" s="11" t="s">
        <v>101</v>
      </c>
      <c r="C1" s="11" t="s">
        <v>102</v>
      </c>
      <c r="D1" s="11" t="s">
        <v>96</v>
      </c>
    </row>
    <row r="2" spans="1:4" x14ac:dyDescent="0.25">
      <c r="A2" s="27" t="s">
        <v>75</v>
      </c>
      <c r="B2" s="30" t="s">
        <v>103</v>
      </c>
      <c r="C2" s="31" t="s">
        <v>104</v>
      </c>
      <c r="D2" s="11"/>
    </row>
    <row r="3" spans="1:4" x14ac:dyDescent="0.25">
      <c r="A3" s="25">
        <v>101</v>
      </c>
      <c r="B3" s="30">
        <v>2</v>
      </c>
      <c r="C3" s="32">
        <v>22</v>
      </c>
      <c r="D3" s="12">
        <v>100</v>
      </c>
    </row>
    <row r="4" spans="1:4" x14ac:dyDescent="0.25">
      <c r="A4" s="25">
        <v>102</v>
      </c>
      <c r="B4" s="30">
        <v>1</v>
      </c>
      <c r="C4" s="32">
        <v>23</v>
      </c>
      <c r="D4" s="12">
        <v>73.333333333333329</v>
      </c>
    </row>
    <row r="5" spans="1:4" x14ac:dyDescent="0.25">
      <c r="A5" s="25">
        <v>103</v>
      </c>
      <c r="B5" s="30">
        <v>2</v>
      </c>
      <c r="C5" s="32">
        <v>21</v>
      </c>
      <c r="D5" s="12">
        <v>84.615384615384613</v>
      </c>
    </row>
    <row r="6" spans="1:4" x14ac:dyDescent="0.25">
      <c r="A6" s="25">
        <v>104</v>
      </c>
      <c r="B6" s="30">
        <v>2</v>
      </c>
      <c r="C6" s="32">
        <v>19</v>
      </c>
      <c r="D6" s="12">
        <v>60</v>
      </c>
    </row>
    <row r="7" spans="1:4" x14ac:dyDescent="0.25">
      <c r="A7" s="25">
        <v>105</v>
      </c>
      <c r="B7" s="30">
        <v>2</v>
      </c>
      <c r="C7" s="32">
        <v>19</v>
      </c>
      <c r="D7" s="12">
        <v>90</v>
      </c>
    </row>
    <row r="8" spans="1:4" x14ac:dyDescent="0.25">
      <c r="A8" s="25">
        <v>106</v>
      </c>
      <c r="B8" s="30">
        <v>2</v>
      </c>
      <c r="C8" s="32">
        <v>19</v>
      </c>
      <c r="D8" s="12">
        <v>71.428571428571431</v>
      </c>
    </row>
    <row r="9" spans="1:4" x14ac:dyDescent="0.25">
      <c r="A9" s="25">
        <v>107</v>
      </c>
      <c r="B9" s="30">
        <v>1</v>
      </c>
      <c r="C9" s="32">
        <v>22</v>
      </c>
      <c r="D9" s="12">
        <v>33.333333333333329</v>
      </c>
    </row>
    <row r="10" spans="1:4" x14ac:dyDescent="0.25">
      <c r="A10" s="25">
        <v>108</v>
      </c>
      <c r="B10" s="30">
        <v>2</v>
      </c>
      <c r="C10" s="32">
        <v>19</v>
      </c>
      <c r="D10" s="12">
        <v>60</v>
      </c>
    </row>
    <row r="11" spans="1:4" x14ac:dyDescent="0.25">
      <c r="A11" s="25">
        <v>109</v>
      </c>
      <c r="B11" s="30">
        <v>2</v>
      </c>
      <c r="C11" s="32">
        <v>23</v>
      </c>
      <c r="D11" s="12">
        <v>100</v>
      </c>
    </row>
    <row r="12" spans="1:4" x14ac:dyDescent="0.25">
      <c r="A12" s="25">
        <v>110</v>
      </c>
      <c r="B12" s="30">
        <v>2</v>
      </c>
      <c r="C12" s="32">
        <v>21</v>
      </c>
      <c r="D12" s="12">
        <v>88.235294117647058</v>
      </c>
    </row>
    <row r="13" spans="1:4" x14ac:dyDescent="0.25">
      <c r="A13" s="25">
        <v>111</v>
      </c>
      <c r="B13" s="30">
        <v>2</v>
      </c>
      <c r="C13" s="32">
        <v>22</v>
      </c>
      <c r="D13" s="12">
        <v>88.235294117647058</v>
      </c>
    </row>
    <row r="14" spans="1:4" x14ac:dyDescent="0.25">
      <c r="A14" s="25">
        <v>112</v>
      </c>
      <c r="B14" s="30">
        <v>2</v>
      </c>
      <c r="C14" s="32">
        <v>19</v>
      </c>
      <c r="D14" s="12">
        <v>85.714285714285708</v>
      </c>
    </row>
    <row r="15" spans="1:4" x14ac:dyDescent="0.25">
      <c r="A15" s="25">
        <v>113</v>
      </c>
      <c r="B15" s="30">
        <v>2</v>
      </c>
      <c r="C15" s="32">
        <v>21</v>
      </c>
      <c r="D15" s="12">
        <v>100</v>
      </c>
    </row>
    <row r="16" spans="1:4" x14ac:dyDescent="0.25">
      <c r="A16" s="25">
        <v>114</v>
      </c>
      <c r="B16" s="30">
        <v>2</v>
      </c>
      <c r="C16" s="32">
        <v>21</v>
      </c>
      <c r="D16" s="12">
        <v>76.470588235294116</v>
      </c>
    </row>
    <row r="17" spans="1:4" x14ac:dyDescent="0.25">
      <c r="A17" s="25">
        <v>115</v>
      </c>
      <c r="B17" s="30">
        <v>1</v>
      </c>
      <c r="C17" s="32">
        <v>25</v>
      </c>
      <c r="D17" s="12">
        <v>100</v>
      </c>
    </row>
    <row r="18" spans="1:4" x14ac:dyDescent="0.25">
      <c r="A18" s="25">
        <v>116</v>
      </c>
      <c r="B18" s="30">
        <v>2</v>
      </c>
      <c r="C18" s="32">
        <v>20</v>
      </c>
      <c r="D18" s="12">
        <v>100</v>
      </c>
    </row>
    <row r="19" spans="1:4" x14ac:dyDescent="0.25">
      <c r="A19" s="25">
        <v>117</v>
      </c>
      <c r="B19" s="30">
        <v>2</v>
      </c>
      <c r="C19" s="32">
        <v>27</v>
      </c>
      <c r="D19" s="12">
        <v>88.888888888888886</v>
      </c>
    </row>
    <row r="20" spans="1:4" x14ac:dyDescent="0.25">
      <c r="A20" s="25">
        <v>118</v>
      </c>
      <c r="B20" s="30">
        <v>2</v>
      </c>
      <c r="C20" s="32">
        <v>19</v>
      </c>
      <c r="D20" s="12">
        <v>63.636363636363633</v>
      </c>
    </row>
    <row r="21" spans="1:4" x14ac:dyDescent="0.25">
      <c r="A21" s="25">
        <v>119</v>
      </c>
      <c r="B21" s="30">
        <v>2</v>
      </c>
      <c r="C21" s="32">
        <v>24</v>
      </c>
      <c r="D21" s="12">
        <v>85.714285714285708</v>
      </c>
    </row>
    <row r="22" spans="1:4" x14ac:dyDescent="0.25">
      <c r="A22" s="25">
        <v>120</v>
      </c>
      <c r="B22" s="30">
        <v>2</v>
      </c>
      <c r="C22" s="32">
        <v>30</v>
      </c>
      <c r="D22" s="12">
        <v>100</v>
      </c>
    </row>
    <row r="23" spans="1:4" x14ac:dyDescent="0.25">
      <c r="A23" s="25">
        <v>121</v>
      </c>
      <c r="B23" s="30">
        <v>2</v>
      </c>
      <c r="C23" s="32">
        <v>22</v>
      </c>
      <c r="D23" s="12">
        <v>100</v>
      </c>
    </row>
    <row r="24" spans="1:4" x14ac:dyDescent="0.25">
      <c r="A24" s="25">
        <v>122</v>
      </c>
      <c r="B24" s="30">
        <v>2</v>
      </c>
      <c r="C24" s="32">
        <v>21</v>
      </c>
      <c r="D24" s="12">
        <v>88.235294117647058</v>
      </c>
    </row>
    <row r="25" spans="1:4" x14ac:dyDescent="0.25">
      <c r="A25" s="25">
        <v>123</v>
      </c>
      <c r="B25" s="30">
        <v>4</v>
      </c>
      <c r="C25" s="32">
        <v>18</v>
      </c>
      <c r="D25" s="12">
        <v>87.5</v>
      </c>
    </row>
    <row r="26" spans="1:4" x14ac:dyDescent="0.25">
      <c r="A26" s="25">
        <v>125</v>
      </c>
      <c r="B26" s="30">
        <v>2</v>
      </c>
      <c r="C26" s="32">
        <v>20</v>
      </c>
      <c r="D26" s="12">
        <v>100</v>
      </c>
    </row>
    <row r="27" spans="1:4" x14ac:dyDescent="0.25">
      <c r="A27" s="25">
        <v>126</v>
      </c>
      <c r="B27" s="30">
        <v>2</v>
      </c>
      <c r="C27" s="32">
        <v>23</v>
      </c>
      <c r="D27" s="12">
        <v>80</v>
      </c>
    </row>
    <row r="28" spans="1:4" x14ac:dyDescent="0.25">
      <c r="A28" s="25">
        <v>127</v>
      </c>
      <c r="B28" s="30">
        <v>1</v>
      </c>
      <c r="C28" s="32">
        <v>19</v>
      </c>
      <c r="D28" s="12">
        <v>68.421052631578945</v>
      </c>
    </row>
    <row r="29" spans="1:4" x14ac:dyDescent="0.25">
      <c r="A29" s="25">
        <v>128</v>
      </c>
      <c r="B29" s="30">
        <v>2</v>
      </c>
      <c r="C29" s="32">
        <v>26</v>
      </c>
      <c r="D29" s="12">
        <v>100</v>
      </c>
    </row>
    <row r="30" spans="1:4" x14ac:dyDescent="0.25">
      <c r="A30" s="25">
        <v>129</v>
      </c>
      <c r="B30" s="30">
        <v>1</v>
      </c>
      <c r="C30" s="32">
        <v>24</v>
      </c>
      <c r="D30" s="12">
        <v>100</v>
      </c>
    </row>
    <row r="31" spans="1:4" x14ac:dyDescent="0.25">
      <c r="A31" s="25">
        <v>130</v>
      </c>
      <c r="B31" s="30">
        <v>1</v>
      </c>
      <c r="C31" s="32">
        <v>22</v>
      </c>
      <c r="D31" s="12">
        <v>100</v>
      </c>
    </row>
    <row r="32" spans="1:4" x14ac:dyDescent="0.25">
      <c r="A32" s="25">
        <v>131</v>
      </c>
      <c r="B32" s="30">
        <v>2</v>
      </c>
      <c r="C32" s="32">
        <v>20</v>
      </c>
      <c r="D32" s="12">
        <v>100</v>
      </c>
    </row>
    <row r="33" spans="1:4" x14ac:dyDescent="0.25">
      <c r="A33" s="25">
        <v>132</v>
      </c>
      <c r="B33" s="30">
        <v>2</v>
      </c>
      <c r="C33" s="32">
        <v>21</v>
      </c>
      <c r="D33" s="12">
        <v>100</v>
      </c>
    </row>
    <row r="34" spans="1:4" x14ac:dyDescent="0.25">
      <c r="A34" s="25">
        <v>133</v>
      </c>
      <c r="B34" s="30">
        <v>1</v>
      </c>
      <c r="C34" s="32">
        <v>21</v>
      </c>
      <c r="D34" s="12">
        <v>100</v>
      </c>
    </row>
    <row r="35" spans="1:4" x14ac:dyDescent="0.25">
      <c r="A35" s="25">
        <v>134</v>
      </c>
      <c r="B35" s="30">
        <v>2</v>
      </c>
      <c r="C35" s="32">
        <v>24</v>
      </c>
      <c r="D35" s="12">
        <v>100</v>
      </c>
    </row>
    <row r="36" spans="1:4" x14ac:dyDescent="0.25">
      <c r="A36" s="25">
        <v>135</v>
      </c>
      <c r="B36" s="30">
        <v>2</v>
      </c>
      <c r="C36" s="32">
        <v>23</v>
      </c>
      <c r="D36" s="12">
        <v>100</v>
      </c>
    </row>
    <row r="37" spans="1:4" x14ac:dyDescent="0.25">
      <c r="A37" s="25">
        <v>136</v>
      </c>
      <c r="B37" s="30">
        <v>2</v>
      </c>
      <c r="C37" s="32">
        <v>22</v>
      </c>
      <c r="D37" s="12">
        <v>100</v>
      </c>
    </row>
    <row r="38" spans="1:4" x14ac:dyDescent="0.25">
      <c r="A38" s="25">
        <v>137</v>
      </c>
      <c r="B38" s="30">
        <v>2</v>
      </c>
      <c r="C38" s="32">
        <v>25</v>
      </c>
      <c r="D38" s="12">
        <v>100</v>
      </c>
    </row>
    <row r="39" spans="1:4" x14ac:dyDescent="0.25">
      <c r="A39" s="25">
        <v>138</v>
      </c>
      <c r="B39" s="30">
        <v>1</v>
      </c>
      <c r="C39" s="32">
        <v>23</v>
      </c>
      <c r="D39" s="12">
        <v>71.428571428571431</v>
      </c>
    </row>
    <row r="40" spans="1:4" x14ac:dyDescent="0.25">
      <c r="A40" s="25">
        <v>139</v>
      </c>
      <c r="B40" s="30">
        <v>2</v>
      </c>
      <c r="C40" s="32">
        <v>24</v>
      </c>
      <c r="D40" s="12">
        <v>100</v>
      </c>
    </row>
    <row r="41" spans="1:4" x14ac:dyDescent="0.25">
      <c r="A41" s="25">
        <v>124</v>
      </c>
      <c r="B41" s="30">
        <v>2</v>
      </c>
      <c r="C41" s="32">
        <v>24</v>
      </c>
      <c r="D41" s="12">
        <v>100</v>
      </c>
    </row>
    <row r="42" spans="1:4" x14ac:dyDescent="0.25">
      <c r="A42" s="25">
        <v>140</v>
      </c>
      <c r="B42" s="30">
        <v>1</v>
      </c>
      <c r="C42" s="32">
        <v>30</v>
      </c>
      <c r="D42" s="12">
        <v>100</v>
      </c>
    </row>
    <row r="43" spans="1:4" x14ac:dyDescent="0.25">
      <c r="A43" s="25">
        <v>141</v>
      </c>
      <c r="B43" s="30">
        <v>2</v>
      </c>
      <c r="C43" s="32">
        <v>21</v>
      </c>
      <c r="D43" s="12">
        <v>81.818181818181827</v>
      </c>
    </row>
    <row r="44" spans="1:4" x14ac:dyDescent="0.25">
      <c r="A44" s="25">
        <v>142</v>
      </c>
      <c r="B44" s="30">
        <v>1</v>
      </c>
      <c r="C44" s="32">
        <v>27</v>
      </c>
      <c r="D44" s="12">
        <v>100</v>
      </c>
    </row>
    <row r="45" spans="1:4" x14ac:dyDescent="0.25">
      <c r="A45" s="25">
        <v>143</v>
      </c>
      <c r="B45" s="30">
        <v>2</v>
      </c>
      <c r="C45" s="32">
        <v>23</v>
      </c>
      <c r="D45" s="12">
        <v>100</v>
      </c>
    </row>
    <row r="46" spans="1:4" x14ac:dyDescent="0.25">
      <c r="A46" s="25">
        <v>144</v>
      </c>
      <c r="B46" s="30">
        <v>1</v>
      </c>
      <c r="C46" s="32">
        <v>23</v>
      </c>
      <c r="D46" s="12">
        <v>75</v>
      </c>
    </row>
    <row r="47" spans="1:4" x14ac:dyDescent="0.25">
      <c r="A47" s="25">
        <v>145</v>
      </c>
      <c r="B47" s="30">
        <v>2</v>
      </c>
      <c r="C47" s="32">
        <v>23</v>
      </c>
      <c r="D47" s="12">
        <v>55.555555555555557</v>
      </c>
    </row>
    <row r="48" spans="1:4" x14ac:dyDescent="0.25">
      <c r="A48" s="25">
        <v>146</v>
      </c>
      <c r="B48" s="30">
        <v>1</v>
      </c>
      <c r="C48" s="32">
        <v>20</v>
      </c>
      <c r="D48" s="12">
        <v>100</v>
      </c>
    </row>
    <row r="49" spans="1:6" x14ac:dyDescent="0.25">
      <c r="A49" s="25">
        <v>147</v>
      </c>
      <c r="B49" s="30">
        <v>2</v>
      </c>
      <c r="C49" s="32">
        <v>31</v>
      </c>
      <c r="D49" s="12">
        <v>100</v>
      </c>
    </row>
    <row r="50" spans="1:6" x14ac:dyDescent="0.25">
      <c r="A50" s="25">
        <v>148</v>
      </c>
      <c r="B50" s="30">
        <v>2</v>
      </c>
      <c r="C50" s="32">
        <v>22</v>
      </c>
      <c r="D50" s="12">
        <v>100</v>
      </c>
    </row>
    <row r="51" spans="1:6" x14ac:dyDescent="0.25">
      <c r="A51" s="29"/>
      <c r="B51" s="33"/>
      <c r="C51" s="33"/>
      <c r="D51" s="33"/>
      <c r="E51" s="28"/>
      <c r="F51" s="28"/>
    </row>
    <row r="52" spans="1:6" x14ac:dyDescent="0.25">
      <c r="A52" s="29" t="s">
        <v>105</v>
      </c>
      <c r="B52" s="33"/>
      <c r="C52" s="34">
        <f>AVERAGE(C3:C50)</f>
        <v>22.458333333333332</v>
      </c>
      <c r="D52" s="34">
        <f>AVERAGE(D3:D50)</f>
        <v>88.699255805970211</v>
      </c>
      <c r="E52" s="28"/>
      <c r="F52" s="28"/>
    </row>
    <row r="53" spans="1:6" x14ac:dyDescent="0.25">
      <c r="A53" s="29" t="s">
        <v>106</v>
      </c>
      <c r="B53" s="33"/>
      <c r="C53" s="34">
        <f>_xlfn.STDEV.P(C3:C50)</f>
        <v>2.936539441057942</v>
      </c>
      <c r="D53" s="34">
        <f>_xlfn.STDEV.P(D3:D50)</f>
        <v>15.479911032003089</v>
      </c>
      <c r="E53" s="28"/>
      <c r="F53" s="28"/>
    </row>
    <row r="54" spans="1:6" x14ac:dyDescent="0.25">
      <c r="A54" s="29"/>
      <c r="B54" s="33"/>
      <c r="C54" s="33"/>
      <c r="D54" s="33"/>
      <c r="E54" s="28"/>
      <c r="F54" s="28"/>
    </row>
    <row r="55" spans="1:6" x14ac:dyDescent="0.25">
      <c r="A55" s="29" t="s">
        <v>107</v>
      </c>
      <c r="B55" s="33">
        <f>COUNTIF(B3:B50,1)</f>
        <v>12</v>
      </c>
      <c r="C55" s="33"/>
      <c r="D55" s="33"/>
      <c r="E55" s="28"/>
      <c r="F55" s="28"/>
    </row>
    <row r="56" spans="1:6" x14ac:dyDescent="0.25">
      <c r="A56" s="29" t="s">
        <v>110</v>
      </c>
      <c r="B56" s="33">
        <f>COUNTIF(B3:B50,2)</f>
        <v>35</v>
      </c>
      <c r="C56" s="33"/>
      <c r="D56" s="33"/>
      <c r="E56" s="28"/>
      <c r="F56" s="28"/>
    </row>
    <row r="57" spans="1:6" x14ac:dyDescent="0.25">
      <c r="A57" s="29" t="s">
        <v>109</v>
      </c>
      <c r="B57" s="33">
        <f>COUNTIF(B3:B50,3)</f>
        <v>0</v>
      </c>
      <c r="C57" s="33"/>
      <c r="D57" s="33"/>
      <c r="E57" s="28"/>
      <c r="F57" s="28"/>
    </row>
    <row r="58" spans="1:6" x14ac:dyDescent="0.25">
      <c r="A58" s="29" t="s">
        <v>108</v>
      </c>
      <c r="B58" s="33">
        <f>COUNTIF(B3:B50,4)</f>
        <v>1</v>
      </c>
      <c r="C58" s="33"/>
      <c r="D58" s="33"/>
      <c r="E58" s="28"/>
      <c r="F58" s="28"/>
    </row>
    <row r="59" spans="1:6" x14ac:dyDescent="0.25">
      <c r="A59" s="29"/>
      <c r="B59" s="33"/>
      <c r="C59" s="33"/>
      <c r="D59" s="33"/>
      <c r="E59" s="28"/>
      <c r="F59" s="28"/>
    </row>
    <row r="60" spans="1:6" x14ac:dyDescent="0.25">
      <c r="A60" s="29"/>
      <c r="B60" s="33"/>
      <c r="C60" s="33"/>
      <c r="D60" s="33"/>
      <c r="E60" s="28"/>
      <c r="F60" s="28"/>
    </row>
    <row r="61" spans="1:6" x14ac:dyDescent="0.25">
      <c r="A61" s="29"/>
      <c r="B61" s="33"/>
      <c r="C61" s="33"/>
      <c r="D61" s="33"/>
      <c r="E61" s="28"/>
      <c r="F61" s="28"/>
    </row>
    <row r="62" spans="1:6" x14ac:dyDescent="0.25">
      <c r="A62" s="29"/>
      <c r="B62" s="33"/>
      <c r="C62" s="33"/>
      <c r="D62" s="33"/>
      <c r="E62" s="28"/>
      <c r="F62" s="28"/>
    </row>
    <row r="63" spans="1:6" x14ac:dyDescent="0.25">
      <c r="A63" s="29"/>
      <c r="B63" s="33"/>
      <c r="C63" s="33"/>
      <c r="D63" s="33"/>
      <c r="E63" s="28"/>
      <c r="F63" s="28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5929A-A476-456C-85B5-98385B9C97A0}">
  <dimension ref="A1:F58"/>
  <sheetViews>
    <sheetView topLeftCell="A19" workbookViewId="0">
      <selection activeCell="C49" sqref="C49"/>
    </sheetView>
  </sheetViews>
  <sheetFormatPr baseColWidth="10" defaultRowHeight="15" x14ac:dyDescent="0.25"/>
  <cols>
    <col min="1" max="1" width="21.85546875" style="24" bestFit="1" customWidth="1"/>
    <col min="2" max="4" width="11.42578125" style="2"/>
  </cols>
  <sheetData>
    <row r="1" spans="1:4" x14ac:dyDescent="0.25">
      <c r="A1" s="26" t="s">
        <v>60</v>
      </c>
      <c r="B1" s="11" t="s">
        <v>101</v>
      </c>
      <c r="C1" s="11" t="s">
        <v>102</v>
      </c>
      <c r="D1" s="11" t="s">
        <v>96</v>
      </c>
    </row>
    <row r="2" spans="1:4" x14ac:dyDescent="0.25">
      <c r="A2" s="27" t="s">
        <v>75</v>
      </c>
      <c r="B2" s="30" t="s">
        <v>103</v>
      </c>
      <c r="C2" s="31" t="s">
        <v>104</v>
      </c>
      <c r="D2" s="11"/>
    </row>
    <row r="3" spans="1:4" x14ac:dyDescent="0.25">
      <c r="A3" s="25">
        <v>101</v>
      </c>
      <c r="B3" s="30">
        <v>2</v>
      </c>
      <c r="C3" s="32">
        <v>22</v>
      </c>
      <c r="D3" s="12">
        <v>100</v>
      </c>
    </row>
    <row r="4" spans="1:4" x14ac:dyDescent="0.25">
      <c r="A4" s="25">
        <v>102</v>
      </c>
      <c r="B4" s="30">
        <v>1</v>
      </c>
      <c r="C4" s="32">
        <v>23</v>
      </c>
      <c r="D4" s="12">
        <v>73.333333333333329</v>
      </c>
    </row>
    <row r="5" spans="1:4" x14ac:dyDescent="0.25">
      <c r="A5" s="25">
        <v>104</v>
      </c>
      <c r="B5" s="30">
        <v>2</v>
      </c>
      <c r="C5" s="32">
        <v>19</v>
      </c>
      <c r="D5" s="12">
        <v>60</v>
      </c>
    </row>
    <row r="6" spans="1:4" x14ac:dyDescent="0.25">
      <c r="A6" s="25">
        <v>105</v>
      </c>
      <c r="B6" s="30">
        <v>2</v>
      </c>
      <c r="C6" s="32">
        <v>19</v>
      </c>
      <c r="D6" s="12">
        <v>90</v>
      </c>
    </row>
    <row r="7" spans="1:4" x14ac:dyDescent="0.25">
      <c r="A7" s="25">
        <v>106</v>
      </c>
      <c r="B7" s="30">
        <v>2</v>
      </c>
      <c r="C7" s="32">
        <v>19</v>
      </c>
      <c r="D7" s="12">
        <v>71.428571428571431</v>
      </c>
    </row>
    <row r="8" spans="1:4" x14ac:dyDescent="0.25">
      <c r="A8" s="25">
        <v>108</v>
      </c>
      <c r="B8" s="30">
        <v>2</v>
      </c>
      <c r="C8" s="32">
        <v>19</v>
      </c>
      <c r="D8" s="12">
        <v>60</v>
      </c>
    </row>
    <row r="9" spans="1:4" x14ac:dyDescent="0.25">
      <c r="A9" s="25">
        <v>109</v>
      </c>
      <c r="B9" s="30">
        <v>2</v>
      </c>
      <c r="C9" s="32">
        <v>23</v>
      </c>
      <c r="D9" s="12">
        <v>100</v>
      </c>
    </row>
    <row r="10" spans="1:4" x14ac:dyDescent="0.25">
      <c r="A10" s="25">
        <v>110</v>
      </c>
      <c r="B10" s="30">
        <v>2</v>
      </c>
      <c r="C10" s="32">
        <v>21</v>
      </c>
      <c r="D10" s="12">
        <v>88.235294117647058</v>
      </c>
    </row>
    <row r="11" spans="1:4" x14ac:dyDescent="0.25">
      <c r="A11" s="25">
        <v>111</v>
      </c>
      <c r="B11" s="30">
        <v>2</v>
      </c>
      <c r="C11" s="32">
        <v>22</v>
      </c>
      <c r="D11" s="12">
        <v>88.235294117647058</v>
      </c>
    </row>
    <row r="12" spans="1:4" x14ac:dyDescent="0.25">
      <c r="A12" s="25">
        <v>112</v>
      </c>
      <c r="B12" s="30">
        <v>2</v>
      </c>
      <c r="C12" s="32">
        <v>19</v>
      </c>
      <c r="D12" s="12">
        <v>85.714285714285708</v>
      </c>
    </row>
    <row r="13" spans="1:4" x14ac:dyDescent="0.25">
      <c r="A13" s="25">
        <v>113</v>
      </c>
      <c r="B13" s="30">
        <v>2</v>
      </c>
      <c r="C13" s="32">
        <v>21</v>
      </c>
      <c r="D13" s="12">
        <v>100</v>
      </c>
    </row>
    <row r="14" spans="1:4" x14ac:dyDescent="0.25">
      <c r="A14" s="25">
        <v>114</v>
      </c>
      <c r="B14" s="30">
        <v>2</v>
      </c>
      <c r="C14" s="32">
        <v>21</v>
      </c>
      <c r="D14" s="12">
        <v>76.470588235294116</v>
      </c>
    </row>
    <row r="15" spans="1:4" x14ac:dyDescent="0.25">
      <c r="A15" s="25">
        <v>115</v>
      </c>
      <c r="B15" s="30">
        <v>1</v>
      </c>
      <c r="C15" s="32">
        <v>25</v>
      </c>
      <c r="D15" s="12">
        <v>100</v>
      </c>
    </row>
    <row r="16" spans="1:4" x14ac:dyDescent="0.25">
      <c r="A16" s="25">
        <v>116</v>
      </c>
      <c r="B16" s="30">
        <v>2</v>
      </c>
      <c r="C16" s="32">
        <v>20</v>
      </c>
      <c r="D16" s="12">
        <v>100</v>
      </c>
    </row>
    <row r="17" spans="1:4" x14ac:dyDescent="0.25">
      <c r="A17" s="25">
        <v>117</v>
      </c>
      <c r="B17" s="30">
        <v>2</v>
      </c>
      <c r="C17" s="32">
        <v>27</v>
      </c>
      <c r="D17" s="12">
        <v>88.888888888888886</v>
      </c>
    </row>
    <row r="18" spans="1:4" x14ac:dyDescent="0.25">
      <c r="A18" s="25">
        <v>118</v>
      </c>
      <c r="B18" s="30">
        <v>2</v>
      </c>
      <c r="C18" s="32">
        <v>19</v>
      </c>
      <c r="D18" s="12">
        <v>63.636363636363633</v>
      </c>
    </row>
    <row r="19" spans="1:4" x14ac:dyDescent="0.25">
      <c r="A19" s="25">
        <v>120</v>
      </c>
      <c r="B19" s="30">
        <v>2</v>
      </c>
      <c r="C19" s="32">
        <v>30</v>
      </c>
      <c r="D19" s="12">
        <v>100</v>
      </c>
    </row>
    <row r="20" spans="1:4" x14ac:dyDescent="0.25">
      <c r="A20" s="25">
        <v>121</v>
      </c>
      <c r="B20" s="30">
        <v>2</v>
      </c>
      <c r="C20" s="32">
        <v>22</v>
      </c>
      <c r="D20" s="12">
        <v>100</v>
      </c>
    </row>
    <row r="21" spans="1:4" x14ac:dyDescent="0.25">
      <c r="A21" s="25">
        <v>122</v>
      </c>
      <c r="B21" s="30">
        <v>2</v>
      </c>
      <c r="C21" s="32">
        <v>21</v>
      </c>
      <c r="D21" s="12">
        <v>88.235294117647058</v>
      </c>
    </row>
    <row r="22" spans="1:4" x14ac:dyDescent="0.25">
      <c r="A22" s="25">
        <v>123</v>
      </c>
      <c r="B22" s="30">
        <v>4</v>
      </c>
      <c r="C22" s="32">
        <v>18</v>
      </c>
      <c r="D22" s="12">
        <v>87.5</v>
      </c>
    </row>
    <row r="23" spans="1:4" x14ac:dyDescent="0.25">
      <c r="A23" s="25">
        <v>125</v>
      </c>
      <c r="B23" s="30">
        <v>2</v>
      </c>
      <c r="C23" s="32">
        <v>20</v>
      </c>
      <c r="D23" s="12">
        <v>100</v>
      </c>
    </row>
    <row r="24" spans="1:4" x14ac:dyDescent="0.25">
      <c r="A24" s="25">
        <v>126</v>
      </c>
      <c r="B24" s="30">
        <v>2</v>
      </c>
      <c r="C24" s="32">
        <v>23</v>
      </c>
      <c r="D24" s="12">
        <v>80</v>
      </c>
    </row>
    <row r="25" spans="1:4" x14ac:dyDescent="0.25">
      <c r="A25" s="25">
        <v>127</v>
      </c>
      <c r="B25" s="30">
        <v>1</v>
      </c>
      <c r="C25" s="32">
        <v>19</v>
      </c>
      <c r="D25" s="12">
        <v>68.421052631578945</v>
      </c>
    </row>
    <row r="26" spans="1:4" x14ac:dyDescent="0.25">
      <c r="A26" s="25">
        <v>128</v>
      </c>
      <c r="B26" s="30">
        <v>2</v>
      </c>
      <c r="C26" s="32">
        <v>26</v>
      </c>
      <c r="D26" s="12">
        <v>100</v>
      </c>
    </row>
    <row r="27" spans="1:4" x14ac:dyDescent="0.25">
      <c r="A27" s="25">
        <v>130</v>
      </c>
      <c r="B27" s="30">
        <v>1</v>
      </c>
      <c r="C27" s="32">
        <v>22</v>
      </c>
      <c r="D27" s="12">
        <v>100</v>
      </c>
    </row>
    <row r="28" spans="1:4" x14ac:dyDescent="0.25">
      <c r="A28" s="25">
        <v>131</v>
      </c>
      <c r="B28" s="30">
        <v>2</v>
      </c>
      <c r="C28" s="32">
        <v>20</v>
      </c>
      <c r="D28" s="12">
        <v>100</v>
      </c>
    </row>
    <row r="29" spans="1:4" x14ac:dyDescent="0.25">
      <c r="A29" s="25">
        <v>132</v>
      </c>
      <c r="B29" s="30">
        <v>2</v>
      </c>
      <c r="C29" s="32">
        <v>21</v>
      </c>
      <c r="D29" s="12">
        <v>100</v>
      </c>
    </row>
    <row r="30" spans="1:4" x14ac:dyDescent="0.25">
      <c r="A30" s="25">
        <v>133</v>
      </c>
      <c r="B30" s="30">
        <v>1</v>
      </c>
      <c r="C30" s="32">
        <v>21</v>
      </c>
      <c r="D30" s="12">
        <v>100</v>
      </c>
    </row>
    <row r="31" spans="1:4" x14ac:dyDescent="0.25">
      <c r="A31" s="25">
        <v>134</v>
      </c>
      <c r="B31" s="30">
        <v>2</v>
      </c>
      <c r="C31" s="32">
        <v>24</v>
      </c>
      <c r="D31" s="12">
        <v>100</v>
      </c>
    </row>
    <row r="32" spans="1:4" x14ac:dyDescent="0.25">
      <c r="A32" s="25">
        <v>135</v>
      </c>
      <c r="B32" s="30">
        <v>2</v>
      </c>
      <c r="C32" s="32">
        <v>23</v>
      </c>
      <c r="D32" s="12">
        <v>100</v>
      </c>
    </row>
    <row r="33" spans="1:6" x14ac:dyDescent="0.25">
      <c r="A33" s="25">
        <v>136</v>
      </c>
      <c r="B33" s="30">
        <v>2</v>
      </c>
      <c r="C33" s="32">
        <v>22</v>
      </c>
      <c r="D33" s="12">
        <v>100</v>
      </c>
    </row>
    <row r="34" spans="1:6" x14ac:dyDescent="0.25">
      <c r="A34" s="25">
        <v>137</v>
      </c>
      <c r="B34" s="30">
        <v>2</v>
      </c>
      <c r="C34" s="32">
        <v>25</v>
      </c>
      <c r="D34" s="12">
        <v>100</v>
      </c>
    </row>
    <row r="35" spans="1:6" x14ac:dyDescent="0.25">
      <c r="A35" s="25">
        <v>138</v>
      </c>
      <c r="B35" s="30">
        <v>1</v>
      </c>
      <c r="C35" s="32">
        <v>23</v>
      </c>
      <c r="D35" s="12">
        <v>71.428571428571431</v>
      </c>
    </row>
    <row r="36" spans="1:6" x14ac:dyDescent="0.25">
      <c r="A36" s="25">
        <v>139</v>
      </c>
      <c r="B36" s="30">
        <v>2</v>
      </c>
      <c r="C36" s="32">
        <v>24</v>
      </c>
      <c r="D36" s="12">
        <v>100</v>
      </c>
    </row>
    <row r="37" spans="1:6" x14ac:dyDescent="0.25">
      <c r="A37" s="25">
        <v>124</v>
      </c>
      <c r="B37" s="30">
        <v>2</v>
      </c>
      <c r="C37" s="32">
        <v>24</v>
      </c>
      <c r="D37" s="12">
        <v>100</v>
      </c>
    </row>
    <row r="38" spans="1:6" x14ac:dyDescent="0.25">
      <c r="A38" s="25">
        <v>140</v>
      </c>
      <c r="B38" s="30">
        <v>1</v>
      </c>
      <c r="C38" s="32">
        <v>30</v>
      </c>
      <c r="D38" s="12">
        <v>100</v>
      </c>
    </row>
    <row r="39" spans="1:6" x14ac:dyDescent="0.25">
      <c r="A39" s="25">
        <v>141</v>
      </c>
      <c r="B39" s="30">
        <v>2</v>
      </c>
      <c r="C39" s="32">
        <v>21</v>
      </c>
      <c r="D39" s="12">
        <v>81.818181818181827</v>
      </c>
    </row>
    <row r="40" spans="1:6" x14ac:dyDescent="0.25">
      <c r="A40" s="25">
        <v>142</v>
      </c>
      <c r="B40" s="30">
        <v>1</v>
      </c>
      <c r="C40" s="32">
        <v>27</v>
      </c>
      <c r="D40" s="12">
        <v>100</v>
      </c>
    </row>
    <row r="41" spans="1:6" x14ac:dyDescent="0.25">
      <c r="A41" s="25">
        <v>143</v>
      </c>
      <c r="B41" s="30">
        <v>2</v>
      </c>
      <c r="C41" s="32">
        <v>23</v>
      </c>
      <c r="D41" s="12">
        <v>100</v>
      </c>
    </row>
    <row r="42" spans="1:6" x14ac:dyDescent="0.25">
      <c r="A42" s="25">
        <v>145</v>
      </c>
      <c r="B42" s="30">
        <v>2</v>
      </c>
      <c r="C42" s="32">
        <v>23</v>
      </c>
      <c r="D42" s="12">
        <v>55.555555555555557</v>
      </c>
    </row>
    <row r="43" spans="1:6" x14ac:dyDescent="0.25">
      <c r="A43" s="25">
        <v>146</v>
      </c>
      <c r="B43" s="30">
        <v>1</v>
      </c>
      <c r="C43" s="32">
        <v>20</v>
      </c>
      <c r="D43" s="12">
        <v>100</v>
      </c>
    </row>
    <row r="44" spans="1:6" x14ac:dyDescent="0.25">
      <c r="A44" s="25">
        <v>147</v>
      </c>
      <c r="B44" s="30">
        <v>2</v>
      </c>
      <c r="C44" s="32">
        <v>31</v>
      </c>
      <c r="D44" s="12">
        <v>100</v>
      </c>
    </row>
    <row r="45" spans="1:6" x14ac:dyDescent="0.25">
      <c r="A45" s="25">
        <v>148</v>
      </c>
      <c r="B45" s="30">
        <v>2</v>
      </c>
      <c r="C45" s="32">
        <v>22</v>
      </c>
      <c r="D45" s="12">
        <v>100</v>
      </c>
    </row>
    <row r="46" spans="1:6" x14ac:dyDescent="0.25">
      <c r="A46" s="29"/>
      <c r="B46" s="33"/>
      <c r="C46" s="33"/>
      <c r="D46" s="33"/>
      <c r="E46" s="28"/>
      <c r="F46" s="28"/>
    </row>
    <row r="47" spans="1:6" x14ac:dyDescent="0.25">
      <c r="A47" s="29" t="s">
        <v>105</v>
      </c>
      <c r="B47" s="33"/>
      <c r="C47" s="34">
        <f>AVERAGE(C3:C45)</f>
        <v>22.418604651162791</v>
      </c>
      <c r="D47" s="34">
        <f>AVERAGE(D3:D45)</f>
        <v>90.207006395896897</v>
      </c>
      <c r="E47" s="28"/>
      <c r="F47" s="28"/>
    </row>
    <row r="48" spans="1:6" x14ac:dyDescent="0.25">
      <c r="A48" s="29" t="s">
        <v>106</v>
      </c>
      <c r="B48" s="33"/>
      <c r="C48" s="34">
        <f>_xlfn.STDEV.P(C3:C45)</f>
        <v>3.0745206330042842</v>
      </c>
      <c r="D48" s="34">
        <f>_xlfn.STDEV.P(D3:D45)</f>
        <v>13.638202779253875</v>
      </c>
      <c r="E48" s="28"/>
      <c r="F48" s="28"/>
    </row>
    <row r="49" spans="1:6" x14ac:dyDescent="0.25">
      <c r="A49" s="29"/>
      <c r="B49" s="33"/>
      <c r="C49" s="33"/>
      <c r="D49" s="33"/>
      <c r="E49" s="28"/>
      <c r="F49" s="28"/>
    </row>
    <row r="50" spans="1:6" x14ac:dyDescent="0.25">
      <c r="A50" s="29" t="s">
        <v>107</v>
      </c>
      <c r="B50" s="33">
        <f>COUNTIF(B3:B45,1)</f>
        <v>9</v>
      </c>
      <c r="C50" s="33"/>
      <c r="D50" s="33"/>
      <c r="E50" s="28"/>
      <c r="F50" s="28"/>
    </row>
    <row r="51" spans="1:6" x14ac:dyDescent="0.25">
      <c r="A51" s="29" t="s">
        <v>110</v>
      </c>
      <c r="B51" s="33">
        <f>COUNTIF(B3:B45,2)</f>
        <v>33</v>
      </c>
      <c r="C51" s="33"/>
      <c r="D51" s="33"/>
      <c r="E51" s="28"/>
      <c r="F51" s="28"/>
    </row>
    <row r="52" spans="1:6" x14ac:dyDescent="0.25">
      <c r="A52" s="29" t="s">
        <v>109</v>
      </c>
      <c r="B52" s="33">
        <f>COUNTIF(B3:B45,3)</f>
        <v>0</v>
      </c>
      <c r="C52" s="33"/>
      <c r="D52" s="33"/>
      <c r="E52" s="28"/>
      <c r="F52" s="28"/>
    </row>
    <row r="53" spans="1:6" x14ac:dyDescent="0.25">
      <c r="A53" s="29" t="s">
        <v>108</v>
      </c>
      <c r="B53" s="33">
        <f>COUNTIF(B3:B45,4)</f>
        <v>1</v>
      </c>
      <c r="C53" s="33"/>
      <c r="D53" s="33"/>
      <c r="E53" s="28"/>
      <c r="F53" s="28"/>
    </row>
    <row r="54" spans="1:6" x14ac:dyDescent="0.25">
      <c r="A54" s="29"/>
      <c r="B54" s="33"/>
      <c r="C54" s="33"/>
      <c r="D54" s="33"/>
      <c r="E54" s="28"/>
      <c r="F54" s="28"/>
    </row>
    <row r="55" spans="1:6" x14ac:dyDescent="0.25">
      <c r="A55" s="29"/>
      <c r="B55" s="33"/>
      <c r="C55" s="33"/>
      <c r="D55" s="33"/>
      <c r="E55" s="28"/>
      <c r="F55" s="28"/>
    </row>
    <row r="56" spans="1:6" x14ac:dyDescent="0.25">
      <c r="A56" s="29"/>
      <c r="B56" s="33"/>
      <c r="C56" s="33"/>
      <c r="D56" s="33"/>
      <c r="E56" s="28"/>
      <c r="F56" s="28"/>
    </row>
    <row r="57" spans="1:6" x14ac:dyDescent="0.25">
      <c r="A57" s="29"/>
      <c r="B57" s="33"/>
      <c r="C57" s="33"/>
      <c r="D57" s="33"/>
      <c r="E57" s="28"/>
      <c r="F57" s="28"/>
    </row>
    <row r="58" spans="1:6" x14ac:dyDescent="0.25">
      <c r="A58" s="29"/>
      <c r="B58" s="33"/>
      <c r="C58" s="33"/>
      <c r="D58" s="33"/>
      <c r="E58" s="28"/>
      <c r="F58" s="28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Tabelle1</vt:lpstr>
      <vt:lpstr>Tabelle2</vt:lpstr>
      <vt:lpstr>Summary all</vt:lpstr>
      <vt:lpstr>Summary included beh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boux</dc:creator>
  <cp:lastModifiedBy>boux</cp:lastModifiedBy>
  <dcterms:created xsi:type="dcterms:W3CDTF">2015-06-05T18:19:34Z</dcterms:created>
  <dcterms:modified xsi:type="dcterms:W3CDTF">2025-01-29T09:29:26Z</dcterms:modified>
</cp:coreProperties>
</file>